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OI" sheetId="2" state="visible" r:id="rId4"/>
    <sheet name="Infra" sheetId="3" state="visible" r:id="rId5"/>
    <sheet name="Sensitivity" sheetId="4" state="visible" r:id="rId6"/>
    <sheet name="Sample check" sheetId="5" state="visible" r:id="rId7"/>
    <sheet name="Deck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<sst xmlns="http://schemas.openxmlformats.org/spreadsheetml/2006/main" count="480" uniqueCount="395">
  <si>
    <t xml:space="preserve">MAQSAD ROI model: assumptions and inputs</t>
  </si>
  <si>
    <t xml:space="preserve">Blue = entered input; black = formula; green = link to another sheet. The Status column says whether a value is measured, verified, confirmed by the team or a Taxmin (assumption). All amounts in UZS. Synthetic model metrics are reference only; do not treat as pilot accuracy. The recovered-loss benefit stays unavailable until today's baseline detection rate is measured.</t>
  </si>
  <si>
    <t xml:space="preserve">#</t>
  </si>
  <si>
    <t xml:space="preserve">Parameter</t>
  </si>
  <si>
    <t xml:space="preserve">Pessimistic</t>
  </si>
  <si>
    <t xml:space="preserve">Base</t>
  </si>
  <si>
    <t xml:space="preserve">Optimistic</t>
  </si>
  <si>
    <t xml:space="preserve">Unit</t>
  </si>
  <si>
    <t xml:space="preserve">Status</t>
  </si>
  <si>
    <t xml:space="preserve">Source / note</t>
  </si>
  <si>
    <t xml:space="preserve">A. Visit savings</t>
  </si>
  <si>
    <t xml:space="preserve">Number of loans monitored (N)</t>
  </si>
  <si>
    <t xml:space="preserve">loans</t>
  </si>
  <si>
    <t xml:space="preserve">Taxmin: one-branch pilot (derived from brief data)</t>
  </si>
  <si>
    <t xml:space="preserve">Taxmin: pilot runs in ONE branch. MKBANK ~250,000 business clients / 162 branches = ~1,543 per branch (Erste Asset Management data quoted in docs/brief.md), rounded to 1,540. Upper bound: not every client holds a preferential loan. Replace with the branch's actual number of monitored loans in pilot month 1. (Earlier versions used 1,000 and then 5,000 = synthetic portfolio size, which is not the pilot scope.)</t>
  </si>
  <si>
    <t xml:space="preserve">Scheduled visits per year (per loan)</t>
  </si>
  <si>
    <t xml:space="preserve">visits/year</t>
  </si>
  <si>
    <t xml:space="preserve">Taxmin: no public source found</t>
  </si>
  <si>
    <t xml:space="preserve">Taxmin: no public source found; to be replaced with MKBANK data in the pilot: 2-4 times a year for small-business loans. 'Base' = midpoint of the range (assumption). The first visit within 30 days of disbursement is not included (conservative). || SOURCE CHECK (10 Oct 2026): No public source found; confirm with MKBANK.</t>
  </si>
  <si>
    <t xml:space="preserve">Cost to the bank of one visit</t>
  </si>
  <si>
    <t xml:space="preserve">UZS/visit</t>
  </si>
  <si>
    <t xml:space="preserve">Taxmin: no public source found; to be replaced with MKBANK data in the pilot: roughly 100,000 - 300,000 UZS (higher in remote regions). MUST be replaced with MKBANK's internal figure or presented as an illustrative assumption. || SOURCE CHECK (10 Oct 2026): No public source found; confirm with MKBANK. The phrase 'internal calculations of banks' in the original answer cannot be checked.</t>
  </si>
  <si>
    <t xml:space="preserve">Share of loans visited in person with Maqsad</t>
  </si>
  <si>
    <t xml:space="preserve">% of portfolio</t>
  </si>
  <si>
    <t xml:space="preserve">Assumption (Base/Optimistic: brief); Pessimistic: Taxmin</t>
  </si>
  <si>
    <t xml:space="preserve">Base/Optimistic: the 20% visit budget from the brief (recall@20% measured at this budget); the other 80% are checked remotely. Pessimistic (Taxmin): the regulator or bank policy still requires physical visits to 50% of loans, so only half of today's visits are saved. To be confirmed with MKBANK / CBU rules and validated in pilot month 2.</t>
  </si>
  <si>
    <t xml:space="preserve">B. Early-detected losses</t>
  </si>
  <si>
    <t xml:space="preserve">Share of the portfolio with misused loans</t>
  </si>
  <si>
    <t xml:space="preserve">Taxmin: no public source found; to be replaced with MKBANK data in the pilot: 3% to 7%. Pessimistic = 3%, optimistic = 7%, base = 5% (midpoint). MUST be replaced with MKBANK statistics or presented as an illustrative assumption. || SOURCE CHECK (10 Oct 2026): No public source found; confirm with MKBANK. 68 bn / 2,500 cases is a count of cases, not a share of the portfolio.</t>
  </si>
  <si>
    <t xml:space="preserve">Misused amount found in regional inspections</t>
  </si>
  <si>
    <t xml:space="preserve">UZS</t>
  </si>
  <si>
    <t xml:space="preserve">Source: anhor.uz</t>
  </si>
  <si>
    <t xml:space="preserve">68 bn UZS across 2,500 cases (President's meeting, anhor.uz/ru/news/heads-of-banks). Re-check against the source before putting it in the deck.</t>
  </si>
  <si>
    <t xml:space="preserve">Number of cases found</t>
  </si>
  <si>
    <t xml:space="preserve">cases</t>
  </si>
  <si>
    <t xml:space="preserve">Same source. This is a nationwide regional inspection, not MKBANK-specific.</t>
  </si>
  <si>
    <t xml:space="preserve">Average misused amount per case</t>
  </si>
  <si>
    <t xml:space="preserve">UZS/case</t>
  </si>
  <si>
    <t xml:space="preserve">Calculated</t>
  </si>
  <si>
    <t xml:space="preserve">Calculation: 68 bn / 2,500. Assumption: MKBANK cases are similar.</t>
  </si>
  <si>
    <t xml:space="preserve">Maqsad detection rate (recall@20%)</t>
  </si>
  <si>
    <t xml:space="preserve">% of cases</t>
  </si>
  <si>
    <t xml:space="preserve">Measured (final holdout), synthetic</t>
  </si>
  <si>
    <t xml:space="preserve">Holdout point estimate from the final synthetic evaluation (docs/metrics.md): recall@20% = 78.2%; supplier-clustered 95% CI = 72.8%-83.2%. This is not live-bank accuracy. Baseline current-method catch rate is still required before estimating incremental benefit.</t>
  </si>
  <si>
    <t xml:space="preserve">Share of the amount recovered if detected early</t>
  </si>
  <si>
    <t xml:space="preserve">% of amount</t>
  </si>
  <si>
    <t xml:space="preserve">Upper bound, not supported</t>
  </si>
  <si>
    <t xml:space="preserve">Taxmin: no public source found; to be replaced with MKBANK data in the pilot: if detected early the bank recovers 100% of the misused amount. Note: this is the recovery rule; Maqsad's incremental benefit is the difference versus today's method (see next row). || SOURCE CHECK (10 Oct 2026): Public rules only give banks the RIGHT to recover early (lex.uz/uz/docs/-7750738, art. 37; finlit.uz Q&amp;A by the Central Bank). Full recovery is not guaranteed; treat 100% as an upper bound.</t>
  </si>
  <si>
    <t xml:space="preserve">Share of cases today's method already catches (baseline)</t>
  </si>
  <si>
    <t xml:space="preserve">Pilot month 1 measurement (not available now)</t>
  </si>
  <si>
    <t xml:space="preserve">Share of misused cases that today's method already catches. No data exists yet: it comes from the trainer's month-1 measurement in the pilot or from MKBANK. Left blank on purpose; until then the recovered-loss benefit stays 'not entered' and the deck uses the comparison with the simple rule (ROI sheet, section H).</t>
  </si>
  <si>
    <t xml:space="preserve">Penalty share (NOT counted in benefit)</t>
  </si>
  <si>
    <t xml:space="preserve">Taxmin: no public source found; to be replaced with MKBANK data in the pilot: one-time penalty of 10-25% of the misused amount. It is not confirmed that the penalty goes to the bank, so it is excluded from the benefit (conservative). || SOURCE CHECK (10 Oct 2026): No public source found; confirm with MKBANK. Not used in the calculation.</t>
  </si>
  <si>
    <t xml:space="preserve">C. Pilot costs</t>
  </si>
  <si>
    <t xml:space="preserve">AI/ML engineer hourly rate</t>
  </si>
  <si>
    <t xml:space="preserve">UZS/hour</t>
  </si>
  <si>
    <t xml:space="preserve">Taxmin: likely low</t>
  </si>
  <si>
    <t xml:space="preserve">Taxmin; confirm against real rates. || SOURCE CHECK (10 Oct 2026): spot.uz (2024-05-22): average maximum offered developer salary 23.4 M UZS/month, minimum 15.6 M (about 93k-139k UZS/hour at 168 h/month, my conversion). 80-90k/hour is at or below the low end.</t>
  </si>
  <si>
    <t xml:space="preserve">Backend/Frontend developer hourly rate</t>
  </si>
  <si>
    <t xml:space="preserve">Trainer / business analyst hourly rate</t>
  </si>
  <si>
    <t xml:space="preserve">Pilot hours: AI/ML engineer</t>
  </si>
  <si>
    <t xml:space="preserve">hours</t>
  </si>
  <si>
    <t xml:space="preserve">Taxmin: team plan (Dilshodbek, 11 Oct)</t>
  </si>
  <si>
    <t xml:space="preserve">One-time: installation, adapting the model to bank data. AI/ML engineer only. Base 220 h = month 1: 120 (connect bank tables, retrain and evaluate on historical loans, retrain CLIP on real photos), month 2: 60 (monitoring, threshold tuning, fixes from officer feedback), month 3: 40 (measurement, report, handover). Pessimistic 320 = messy or incomplete bank data, few fraud signals in history; Optimistic 140 = clean data close to the synthetic portfolio. Biggest uncertainty: quality of bank data.</t>
  </si>
  <si>
    <t xml:space="preserve">Pilot hours: Backend/Frontend</t>
  </si>
  <si>
    <t xml:space="preserve">Confirmed by Oybek (11 Oct)</t>
  </si>
  <si>
    <t xml:space="preserve">One-time: on-prem installation and app work. Base ~340 h (confirmed by Oybek) (his table sums to 344) = month 1: 168 (install on bank server, bank data adapter, local LLM with GPU, SSO/roles, audit to bank DB, historical test run), month 2: 96 (support, officer-feedback changes, training, monitoring), month 3: 80 (result report, documents). Pessimistic ~520 = complex data connection, many security requirements, GPU server delayed; Optimistic ~240. About 500 h in 3 months = 1 FTE (his assumption). Includes 12 h of officer training, so do not count the same training again under the trainer row.</t>
  </si>
  <si>
    <t xml:space="preserve">Pilot hours: Trainer / business analyst</t>
  </si>
  <si>
    <t xml:space="preserve">Taxmin: team plan (trainer, 11 Oct)</t>
  </si>
  <si>
    <t xml:space="preserve">Trainer / business analyst. Base 160 h = month 1: 70 (learn the process, measure today's method: visits per year, cost per visit, share of misuse found now, training materials, KPI plan), month 2: 50 (staff training, weekly feedback), month 3: 40 (compare results, update the ROI, final report). Pessimistic 240, Optimistic 100. Month 1 fills the empty inputs of this model (Assumptions rows 7, 8, 17): the first task of the pilot. Overlap check: Oybek's plan also has 12 h of officer training; confirm that the trainer's month-2 training is not the same sessions counted twice.</t>
  </si>
  <si>
    <t xml:space="preserve">GPU server / on-prem hardware (one-time)</t>
  </si>
  <si>
    <t xml:space="preserve">Partly verified (GPU only)</t>
  </si>
  <si>
    <t xml:space="preserve">Taxmin: no public source found; to be replaced with MKBANK data in the pilot: enough for a 1-branch or 1-district pilot (1x RTX 6000 Ada or RTX 4090 workstation, 64 GB RAM, 2 TB NVMe), about USD 8,000-12,000 = 95-142 M UZS. Pessimistic = expensive end. Confirm against market prices. || SOURCE CHECK (10 Oct 2026): RTX 6000 Ada alone: MSRP USD 6,800 (computerbase.de, 2023); lowest US retail price USD 7,499 as of Oct 2026 (gpuprix.com). The USD 8,000-12,000 whole-server range is not sourced; the low end leaves almost nothing for CPU/RAM/SSD/chassis, so the pessimistic value is more realistic.</t>
  </si>
  <si>
    <t xml:space="preserve">People, support (annual)</t>
  </si>
  <si>
    <t xml:space="preserve">UZS/year</t>
  </si>
  <si>
    <t xml:space="preserve">Taxmin: no public source found; to be replaced with MKBANK data in the pilot: 57,600,000 UZS/year. It is unknown which role and how many hours this comes from; clarify before the deck. || SOURCE CHECK (10 Oct 2026): No public source found; confirm with MKBANK. Role and hours behind 57.6 M are unknown.</t>
  </si>
  <si>
    <t xml:space="preserve">Antivirus, security, certificates, SIEM (annual)</t>
  </si>
  <si>
    <t xml:space="preserve">Taxmin: no public source found; to be replaced with MKBANK data in the pilot: about 10-15 M UZS/year. Pessimistic = expensive end. Datasets/models with open licences have no separate fee (see data/README.md). || SOURCE CHECK (10 Oct 2026): No public source found; confirm with MKBANK.</t>
  </si>
  <si>
    <t xml:space="preserve">LLM cost per draft report (USD)</t>
  </si>
  <si>
    <t xml:space="preserve">USD/check</t>
  </si>
  <si>
    <t xml:space="preserve">Calculated from official price, measured tokens (n=3)</t>
  </si>
  <si>
    <t xml:space="preserve">Pessimistic = earlier stress value (higher-priced model, GPT-4o public price, 1,000+1,000 tokens = USD 0.0125). Base = Gemini 3.6 Flash at the 2027 price with measured tokens (~1,230 in / ~670 out, production logs, n=3) = USD 0.0069; Optimistic = the same at the 2026 price = USD 0.0034. The prototype actually runs on the free tier (USD 0 spent). Production would use a local LLM on the bank server, so this API price is only the prototype/benchmark cost. Row 58 holds the logged cost for reference only. Counted in the ROI only for infrastructure options 2-3 (external API); option 1 uses a local LLM, so its API cost is 0.</t>
  </si>
  <si>
    <t xml:space="preserve">Exchange rate: 1 USD = ? UZS</t>
  </si>
  <si>
    <t xml:space="preserve">UZS/USD</t>
  </si>
  <si>
    <t xml:space="preserve">cbu.uz 08.10.2026 (accepted by team)</t>
  </si>
  <si>
    <t xml:space="preserve">cbu.uz official rate dated 08.10.2026: USD = 11,846.57 (read via onmap.uz mirror). The team accepted the 08.10.2026 rate for the deck; the 10-11 Oct rate was not used. Earlier values: 11,808.76 on 01.10.2026; 11,900 original estimate.</t>
  </si>
  <si>
    <t xml:space="preserve">Remote checks per year (per loan)</t>
  </si>
  <si>
    <t xml:space="preserve">checks/year</t>
  </si>
  <si>
    <t xml:space="preserve">Assumption</t>
  </si>
  <si>
    <t xml:space="preserve">Assumption: remote check frequency equals today's visit frequency.</t>
  </si>
  <si>
    <t xml:space="preserve">D. Model performance, final holdout (reference only; not used in formulas)</t>
  </si>
  <si>
    <t xml:space="preserve">Maqsad model: share of fraud caught at 20% visit budget</t>
  </si>
  <si>
    <t xml:space="preserve">recall@20%</t>
  </si>
  <si>
    <t xml:space="preserve">Source: Dilshodbek, docs/metrics.md. Point estimate; 95% CI 72.8-83.2%.</t>
  </si>
  <si>
    <t xml:space="preserve">Simple rule baseline</t>
  </si>
  <si>
    <t xml:space="preserve">Holdout graded-rule baseline: recall@20% = 27.4%. Model and simple-rule comparison use the same synthetic holdout and 20% inspection budget.</t>
  </si>
  <si>
    <t xml:space="preserve">Random selection</t>
  </si>
  <si>
    <t xml:space="preserve">Expected recall at a 20% budget under random selection. Synthetic reference only.</t>
  </si>
  <si>
    <t xml:space="preserve">By typology T1: fast cash-out</t>
  </si>
  <si>
    <t xml:space="preserve">Source: Dilshodbek, docs/metrics.md. Strongest type.</t>
  </si>
  <si>
    <t xml:space="preserve">By typology T2: supplier ring</t>
  </si>
  <si>
    <t xml:space="preserve">Source: Dilshodbek, docs/metrics.md.</t>
  </si>
  <si>
    <t xml:space="preserve">By typology T3: asset resale</t>
  </si>
  <si>
    <t xml:space="preserve">Holdout recall@20% = 56.9%. Weaker group; 21 T3 resale cases had not yet happened at snapshot and were counted as positives.</t>
  </si>
  <si>
    <t xml:space="preserve">By typology T4: fake invoice</t>
  </si>
  <si>
    <t xml:space="preserve">Holdout recall@20% = 45.4%. Weakest typology in the final synthetic holdout; pilot performance may differ.</t>
  </si>
  <si>
    <t xml:space="preserve">DATASET / METRICS CONTEXT</t>
  </si>
  <si>
    <t xml:space="preserve">Train workbook</t>
  </si>
  <si>
    <t xml:space="preserve">5,000 loans; 550 synthetic fraud labels (11%). Train/CV only.</t>
  </si>
  <si>
    <t xml:space="preserve">Test workbook</t>
  </si>
  <si>
    <t xml:space="preserve">5,000 loans; 650 synthetic fraud labels (13%); labeled dev split (seed 1337), not the final holdout.</t>
  </si>
  <si>
    <t xml:space="preserve">ROI metric source</t>
  </si>
  <si>
    <t xml:space="preserve">Final holdout figures are sourced from docs/metrics.md. The test workbook is dev and must not replace those headline metrics.</t>
  </si>
  <si>
    <t xml:space="preserve">Validation boundary</t>
  </si>
  <si>
    <t xml:space="preserve">Fraud rates, typology mix and generator settings are assumptions. Measure actual catch rate, recovery and visit cost during the bank pilot.</t>
  </si>
  <si>
    <t xml:space="preserve">E. Infrastructure and measured cost per check (cost.md, measured/read 10 Oct 2026)</t>
  </si>
  <si>
    <t xml:space="preserve">Infrastructure option used in ROI (1 = GPU on-prem as originally assumed; 2 = dedicated CPU server; 3 = cloud CPU, Railway)</t>
  </si>
  <si>
    <t xml:space="preserve">choice 1/2/3</t>
  </si>
  <si>
    <t xml:space="preserve">Choice (team)</t>
  </si>
  <si>
    <t xml:space="preserve">Default 1 keeps the original results unchanged. Options 2 and 3 are cost benchmarks from cost.md: the measured prototype runs on CPU (no GPU). Whether bank data may be hosted outside the bank is NOT checked.</t>
  </si>
  <si>
    <t xml:space="preserve">CPU seconds per money-trail score (score_loan)</t>
  </si>
  <si>
    <t xml:space="preserve">CPU s/call</t>
  </si>
  <si>
    <t xml:space="preserve">Measured (cost.md), synthetic</t>
  </si>
  <si>
    <t xml:space="preserve">docs/cost.md section 1 (repo main, 11 Oct 2026): 3 ms, 100 calls, single thread = one vCPU, warm process. Synthetic data.</t>
  </si>
  <si>
    <t xml:space="preserve">CPU seconds per scenario score (score_scenario)</t>
  </si>
  <si>
    <t xml:space="preserve">docs/cost.md section 1 (repo main, 11 Oct 2026): 102 ms CPU, 40 calls. Was 96 ms in the earlier draft.</t>
  </si>
  <si>
    <t xml:space="preserve">CPU seconds per photo check (check_photo, 1600 px)</t>
  </si>
  <si>
    <t xml:space="preserve">docs/cost.md section 1 (repo main, 11 Oct 2026): 361 ms CPU, single thread, 60 calls (was 502 ms in the earlier draft). The photo signal is not a measured accuracy model and is not counted as a benefit; its CPU cost is included only as an upper bound.</t>
  </si>
  <si>
    <t xml:space="preserve">Resident memory after warm-up</t>
  </si>
  <si>
    <t xml:space="preserve">MB</t>
  </si>
  <si>
    <t xml:space="preserve">Measured (metrics.md); cost.md differs</t>
  </si>
  <si>
    <t xml:space="preserve">docs/metrics.md (CLIP warm-up and memory): full warm-up working set 1,411-1,427 MB; upper end used. docs/cost.md header still says 1,179 MB (earlier run before CLIP weights were in the image): the two files disagree, ask Dilshodbek which one is final.</t>
  </si>
  <si>
    <t xml:space="preserve">Railway CPU price</t>
  </si>
  <si>
    <t xml:space="preserve">USD/vCPU-minute</t>
  </si>
  <si>
    <t xml:space="preserve">Public price (cost.md)</t>
  </si>
  <si>
    <t xml:space="preserve">docs.railway.com/reference/pricing/plans, read 2026-10-10 (as quoted in cost.md): USD 20 per vCPU per month.</t>
  </si>
  <si>
    <t xml:space="preserve">Railway memory price</t>
  </si>
  <si>
    <t xml:space="preserve">USD/GB-month</t>
  </si>
  <si>
    <t xml:space="preserve">Same page: USD 10 per GB per month. Plan fee (Hobby 5 / Pro 20 USD) includes usage up to the same amount and is not added.</t>
  </si>
  <si>
    <t xml:space="preserve">Dedicated CPU server (Hetzner AX42), monthly price</t>
  </si>
  <si>
    <t xml:space="preserve">EUR/month</t>
  </si>
  <si>
    <t xml:space="preserve">Confirmed by team (checked on hetzner.com, 11 Oct)</t>
  </si>
  <si>
    <t xml:space="preserve">Hetzner AX42, 68.19 EUR per month excl. VAT (hardware: hetzner.com/dedicated-rootserver/ax42/). Price first came from a third-party report (deskmodder.de, per cost.md); the team member checked it on hetzner.com on 11 Oct 2026 (confirmation by the user, not re-checked in this file). Used only for Option 2.</t>
  </si>
  <si>
    <t xml:space="preserve">Exchange rate: 1 EUR = ? UZS</t>
  </si>
  <si>
    <t xml:space="preserve">UZS/EUR</t>
  </si>
  <si>
    <t xml:space="preserve">cbu.uz official rate dated 08.10.2026: EUR = 13,240.91 (via onmap.uz mirror), accepted by the team for the deck. The 9 Sep 2026 value used before was 13,569.35.</t>
  </si>
  <si>
    <t xml:space="preserve">Measured LLM cost per draft report (USD): production logs, 2026 price, n=3</t>
  </si>
  <si>
    <t xml:space="preserve">USD/report</t>
  </si>
  <si>
    <t xml:space="preserve">Measured (production logs, n=3; Oybek)</t>
  </si>
  <si>
    <t xml:space="preserve">Record of Oybek's measurement: USD 0.0034 average per report (range 0.0025-0.0042), at the 2026 price. It is NOT used as an override: the ROI uses the measured tokens (rows 67-68) priced at the 2027 price (Base, USD 0.0069) and the 2026 price (Optimistic, USD 0.0034), plus the stress value in Pessimistic. Cross-check: tokens x 2026 price (row 69) = USD 0.003435, matching the reported 0.0034.</t>
  </si>
  <si>
    <t xml:space="preserve">Cross-check: a hardware server (option 1) is the largest one-time item in the model but is not needed by the measured CPU prototype. It would be needed only for a local LLM in production, whose seconds per report are not yet measured (cost.md section 5).</t>
  </si>
  <si>
    <t xml:space="preserve">F. LLM report price: prototype model Gemini 3.6 Flash (price source: ai.google.dev/gemini-api/docs/pricing, read 11 Oct 2026; model and usage reported by Oybek)</t>
  </si>
  <si>
    <t xml:space="preserve">Input price, through 31 Dec 2026</t>
  </si>
  <si>
    <t xml:space="preserve">USD/1M tokens</t>
  </si>
  <si>
    <t xml:space="preserve">Public price (verified)</t>
  </si>
  <si>
    <t xml:space="preserve">Official page, Gemini 3.6 Flash, Standard, paid tier. The prototype itself runs on the free tier (actual LLM spend USD 0); costs below are computed at the official paid price.</t>
  </si>
  <si>
    <t xml:space="preserve">Output price, through 31 Dec 2026 (incl. thinking tokens)</t>
  </si>
  <si>
    <t xml:space="preserve">Same page.</t>
  </si>
  <si>
    <t xml:space="preserve">Input price, from 1 Jan 2027</t>
  </si>
  <si>
    <t xml:space="preserve">Same page: the price DOUBLES from 1 Jan 2027. A pilot would run in 2027, so the Base case uses this price.</t>
  </si>
  <si>
    <t xml:space="preserve">Output price, from 1 Jan 2027</t>
  </si>
  <si>
    <t xml:space="preserve">Input tokens per draft report</t>
  </si>
  <si>
    <t xml:space="preserve">tokens</t>
  </si>
  <si>
    <t xml:space="preserve">Measured (production logs, n=3)</t>
  </si>
  <si>
    <t xml:space="preserve">Average ~1,230 input tokens per draft report (Oybek, production logs, n=3; not a statistical sample).</t>
  </si>
  <si>
    <t xml:space="preserve">Output tokens per draft report</t>
  </si>
  <si>
    <t xml:space="preserve">Average ~670 output tokens per draft report (Oybek, production logs, n=3).</t>
  </si>
  <si>
    <t xml:space="preserve">Cost per report at 2026 price (USD)</t>
  </si>
  <si>
    <t xml:space="preserve">Calculated, assumed tokens</t>
  </si>
  <si>
    <t xml:space="preserve">Measured tokens x 2026 price = USD 0.0034 per report (Oybek reports USD 0.0034, range 0.0025-0.0042; about USD 3.4 per 1,000 reports). Prototype spend is USD 0 (free tier); this is the official paid-tier price.</t>
  </si>
  <si>
    <t xml:space="preserve">Cost per report at 2027 price (USD)</t>
  </si>
  <si>
    <t xml:space="preserve">Same measured tokens at the 2027 price = USD 0.0069 per report. Used as the Base case because a pilot would run after 1 Jan 2027.</t>
  </si>
  <si>
    <t xml:space="preserve">Prototype hosting actually paid (Railway Hobby plan fee)</t>
  </si>
  <si>
    <t xml:space="preserve">USD/month</t>
  </si>
  <si>
    <t xml:space="preserve">Plan fee verified; usage screenshots pending (Oybek)</t>
  </si>
  <si>
    <t xml:space="preserve">USD 5/month = Hobby plan fee, confirmed on docs.railway.com/pricing/plans (11 Oct 2026). Per that page the Hobby plan includes USD 5 of usage and any usage above it is billed on top, so the monthly bill is max(5, usage). The modelled usage (about 1.4 GB memory = about USD 14/month) would give a higher bill than USD 5; the actual invoice was not seen. Reference only, does not affect results. Oybek (11 Oct): $5 is only the minimum subscription; the modelled ~USD 14/month memory usage may be closer to reality. Update this row when the Usage and Metrics screenshots arrive.</t>
  </si>
  <si>
    <t xml:space="preserve">ROI calculation (annual, UZS)</t>
  </si>
  <si>
    <t xml:space="preserve">Results use only the values entered. A missing input shows 'not entered'.</t>
  </si>
  <si>
    <t xml:space="preserve">Metric</t>
  </si>
  <si>
    <t xml:space="preserve">Formula / note</t>
  </si>
  <si>
    <t xml:space="preserve">Number of loans (N)</t>
  </si>
  <si>
    <t xml:space="preserve">Assumptions</t>
  </si>
  <si>
    <t xml:space="preserve">Current visits per year</t>
  </si>
  <si>
    <t xml:space="preserve">N x visits per year</t>
  </si>
  <si>
    <t xml:space="preserve">Visits with Maqsad</t>
  </si>
  <si>
    <t xml:space="preserve">Current visits x share visited</t>
  </si>
  <si>
    <t xml:space="preserve">Visits saved</t>
  </si>
  <si>
    <t xml:space="preserve">Current - with Maqsad</t>
  </si>
  <si>
    <t xml:space="preserve">Cost of one visit (UZS)</t>
  </si>
  <si>
    <t xml:space="preserve">A. Annual savings from visits (UZS)</t>
  </si>
  <si>
    <t xml:space="preserve">Visits saved x cost per visit</t>
  </si>
  <si>
    <t xml:space="preserve">Number of misused loans</t>
  </si>
  <si>
    <t xml:space="preserve">N x misuse share (3-7%)</t>
  </si>
  <si>
    <t xml:space="preserve">Total misused amount (UZS)</t>
  </si>
  <si>
    <t xml:space="preserve">Misused loans x average amount (27.2 M, nationwide regional data)</t>
  </si>
  <si>
    <t xml:space="preserve">Additional cases caught by Maqsad</t>
  </si>
  <si>
    <t xml:space="preserve">Misused loans x (Maqsad recall - measured current-method recall). Enter baseline first.</t>
  </si>
  <si>
    <t xml:space="preserve">B. Amount recovered (UZS/year)</t>
  </si>
  <si>
    <t xml:space="preserve">Additional cases caught x average amount x recovery share; synthetic recall is not real-world validation.</t>
  </si>
  <si>
    <t xml:space="preserve">Warning</t>
  </si>
  <si>
    <t xml:space="preserve">Required before using recovered-loss benefit: enter today's measured catch rate in Assumptions row 17.</t>
  </si>
  <si>
    <t xml:space="preserve">C. Costs</t>
  </si>
  <si>
    <t xml:space="preserve">GPU server / hardware (one-time), selected option</t>
  </si>
  <si>
    <t xml:space="preserve">Infra sheet; selector on Assumptions row 49 (default 1 = original GPU server, 0 for rented options)</t>
  </si>
  <si>
    <t xml:space="preserve">People, pilot (one-time)</t>
  </si>
  <si>
    <t xml:space="preserve">Sum of (hourly rate x hours)</t>
  </si>
  <si>
    <t xml:space="preserve">Total one-time cost (UZS)</t>
  </si>
  <si>
    <t xml:space="preserve">Server + people</t>
  </si>
  <si>
    <t xml:space="preserve">Annual recurring cost, excl. LLM (UZS)</t>
  </si>
  <si>
    <t xml:space="preserve">Support + licences/security + hosting of the selected option (hosting is 0 for option 1)</t>
  </si>
  <si>
    <t xml:space="preserve">Remote checks per year</t>
  </si>
  <si>
    <t xml:space="preserve">N x check frequency</t>
  </si>
  <si>
    <t xml:space="preserve">Annual LLM API cost, selected option (UZS)</t>
  </si>
  <si>
    <t xml:space="preserve">Infra row 46: 0 for option 1 (local LLM, no API cost); for options 2-3 the external API price (Assumptions row 29, measured tokens x Gemini price)</t>
  </si>
  <si>
    <t xml:space="preserve">Total annual recurring cost (UZS)</t>
  </si>
  <si>
    <t xml:space="preserve">D. Unit economics</t>
  </si>
  <si>
    <t xml:space="preserve">Cost per check (UZS)</t>
  </si>
  <si>
    <t xml:space="preserve">Annual recurring cost / number of checks (excludes one-time cost)</t>
  </si>
  <si>
    <t xml:space="preserve">Comparison: cost per visit (UZS)</t>
  </si>
  <si>
    <t xml:space="preserve">Is a Maqsad check cheaper than a visit?</t>
  </si>
  <si>
    <t xml:space="preserve">E. Payback</t>
  </si>
  <si>
    <t xml:space="preserve">Annual net benefit, visit savings only (UZS)</t>
  </si>
  <si>
    <t xml:space="preserve">A - annual recurring cost (conservative, excludes recovered losses)</t>
  </si>
  <si>
    <t xml:space="preserve">Annual net benefit, incl. recovered losses (UZS)</t>
  </si>
  <si>
    <t xml:space="preserve">A + B - annual recurring cost</t>
  </si>
  <si>
    <t xml:space="preserve">Payback period, months (visit savings only)</t>
  </si>
  <si>
    <t xml:space="preserve">One-time cost / monthly net benefit</t>
  </si>
  <si>
    <t xml:space="preserve">Payback period, months (incl. recovered losses)</t>
  </si>
  <si>
    <t xml:space="preserve">F. Unit economics, measured CPU cost (cost.md)</t>
  </si>
  <si>
    <t xml:space="preserve">Marginal CPU cost per check (UZS, upper bound)</t>
  </si>
  <si>
    <t xml:space="preserve">Money-trail + scenario + photo, cloud CPU price. Measured CPU time, public price.</t>
  </si>
  <si>
    <t xml:space="preserve">Marginal CPU cost as share of fully loaded cost per check</t>
  </si>
  <si>
    <t xml:space="preserve">Shows that cost per check is almost entirely fixed cost (support, licences, hosting), not compute.</t>
  </si>
  <si>
    <t xml:space="preserve">One visit costs this many times a fully loaded check</t>
  </si>
  <si>
    <t xml:space="preserve">Visit cost / cost per check (row 27). Both rest on unverified inputs except CPU time.</t>
  </si>
  <si>
    <t xml:space="preserve">G. Break-even and pilot budget (visit savings only)</t>
  </si>
  <si>
    <t xml:space="preserve">Break-even cost per visit (UZS)</t>
  </si>
  <si>
    <t xml:space="preserve">Annual recurring cost / visits saved. Below this visit cost, Maqsad does not pay for itself on visit savings alone.</t>
  </si>
  <si>
    <t xml:space="preserve">Break-even visits saved per year</t>
  </si>
  <si>
    <t xml:space="preserve">Annual recurring cost / cost per visit.</t>
  </si>
  <si>
    <t xml:space="preserve">Safety margin: assumed visit cost / break-even visit cost</t>
  </si>
  <si>
    <t xml:space="preserve">Above 1.0x = pays back on visits alone under these (unverified) inputs.</t>
  </si>
  <si>
    <t xml:space="preserve">Pilot people-cost budget for payback within 12 months (UZS)</t>
  </si>
  <si>
    <t xml:space="preserve">Annual net benefit (visit savings) - one-time hardware. Negative = hardware alone exceeds 12-month benefit.</t>
  </si>
  <si>
    <t xml:space="preserve">Same budget in hours at the simple mean of the 3 hourly rates</t>
  </si>
  <si>
    <t xml:space="preserve">Taxmin: equal split of roles; real mix differs. Give role owners this ceiling for pilot hours.</t>
  </si>
  <si>
    <t xml:space="preserve">Payback, months, hardware only (lower bound)</t>
  </si>
  <si>
    <t xml:space="preserve">Excludes pilot people cost until hours are entered (rows 23-25 of Assumptions). Do not show as the payback figure.</t>
  </si>
  <si>
    <t xml:space="preserve">H. Reference: loss benefit vs simple rule / random at the same 20% budget (synthetic, illustrative, NOT the headline)</t>
  </si>
  <si>
    <t xml:space="preserve">Reference baseline: simple rule recall@20%</t>
  </si>
  <si>
    <t xml:space="preserve">Measured on the synthetic holdout. Not the bank's current method.</t>
  </si>
  <si>
    <t xml:space="preserve">Reference baseline: random selection recall@20%</t>
  </si>
  <si>
    <t xml:space="preserve">Expected value under random choice.</t>
  </si>
  <si>
    <t xml:space="preserve">Gross amount detected, no baseline (UZS)</t>
  </si>
  <si>
    <t xml:space="preserve">Misused loans x recall x average amount x recovery share. Gross, includes what any method would catch: show as supporting figure only.</t>
  </si>
  <si>
    <t xml:space="preserve">Additional cases caught vs simple rule</t>
  </si>
  <si>
    <t xml:space="preserve">Misused loans x (Maqsad recall - 27.4%).</t>
  </si>
  <si>
    <t xml:space="preserve">Amount saved vs simple rule (UZS)</t>
  </si>
  <si>
    <t xml:space="preserve">Recovery share 100% is an upper bound (Assumptions row 16); synthetic recall.</t>
  </si>
  <si>
    <t xml:space="preserve">Additional cases caught vs random</t>
  </si>
  <si>
    <t xml:space="preserve">Misused loans x (Maqsad recall - 20%).</t>
  </si>
  <si>
    <t xml:space="preserve">Amount saved vs random (UZS)</t>
  </si>
  <si>
    <t xml:space="preserve">Same caveats.</t>
  </si>
  <si>
    <t xml:space="preserve">Misused cases NOT caught at 20% visit budget</t>
  </si>
  <si>
    <t xml:space="preserve">Risk side: misused loans x (1 - recall). T3 (56.9%) and T4 (45.4%) are the weak types.</t>
  </si>
  <si>
    <t xml:space="preserve">Amount in those missed cases (UZS)</t>
  </si>
  <si>
    <t xml:space="preserve">Missed cases x average misused amount (nationwide regional average, not MKBANK).</t>
  </si>
  <si>
    <t xml:space="preserve">Break-even misused-loan share (loss benefit vs simple rule alone covers recurring cost)</t>
  </si>
  <si>
    <t xml:space="preserve">Recurring cost / (N x average amount x recall gain x recovery). Compare with the assumed 3-7% range (Taxmin, unverified).</t>
  </si>
  <si>
    <t xml:space="preserve">Break-even recovery share at the assumed misused-loan share</t>
  </si>
  <si>
    <t xml:space="preserve">Share of the misused amount the bank must recover for the loss benefit alone to cover recurring cost.</t>
  </si>
  <si>
    <t xml:space="preserve">Warning: recall below today's measured method</t>
  </si>
  <si>
    <t xml:space="preserve">Row 15 floors the benefit at zero; this row shows when that floor is hiding a loss in detection.</t>
  </si>
  <si>
    <t xml:space="preserve">Comparison bases differ: A (visit savings) compares 20% visits with today's full schedule; H compares Maqsad with a simple rule at the same 20% budget. Do not add A and H in the deck unless today's catch rate (Assumptions row 17) is measured.</t>
  </si>
  <si>
    <t xml:space="preserve">I. Partial pilot cost: AI/ML + Backend/Frontend hours only (trainer hours not entered yet)</t>
  </si>
  <si>
    <t xml:space="preserve">People cost, AI/ML + Backend/Frontend (UZS)</t>
  </si>
  <si>
    <t xml:space="preserve">Hours x hourly rate (rates are Taxmin, likely low). Excludes the trainer / business analyst role.</t>
  </si>
  <si>
    <t xml:space="preserve">One-time cost with these two roles (UZS)</t>
  </si>
  <si>
    <t xml:space="preserve">Hardware (selected option) + people above.</t>
  </si>
  <si>
    <t xml:space="preserve">Payback, months, visit savings only (lower bound)</t>
  </si>
  <si>
    <t xml:space="preserve">Lower bound: trainer hours are missing. Becomes the full payback in row 32 once Assumptions row 25 is filled.</t>
  </si>
  <si>
    <t xml:space="preserve">Pilot hours entered (AI/ML + Backend/Frontend)</t>
  </si>
  <si>
    <t xml:space="preserve">Total hours of the two roles over 3 months.</t>
  </si>
  <si>
    <t xml:space="preserve">Break-even: highest share of visits still performed at which the pilot pays back within 12 months</t>
  </si>
  <si>
    <t xml:space="preserve">1 - (annual recurring + one-time cost) / (all scheduled visits x cost per visit). Compare with the share of visits kept in each scenario (Assumptions row 9); see Sensitivity table 3.</t>
  </si>
  <si>
    <t xml:space="preserve">Infrastructure cost options (measured CPU, cost.md)</t>
  </si>
  <si>
    <t xml:space="preserve">Inputs live on Assumptions rows 49-58. Prices are public prices in original currency converted with Assumptions rows 30 and 57. No GPU is needed for the measured prototype; the LLM in production is not yet measured.</t>
  </si>
  <si>
    <t xml:space="preserve">A. Variable CPU cost per check (Option 3: cloud CPU, Railway)</t>
  </si>
  <si>
    <t xml:space="preserve">CPU seconds per check, upper bound (score + scenario + photo)</t>
  </si>
  <si>
    <t xml:space="preserve">Taxmin: every remote check runs all three components (upper bound; real mix not measured).</t>
  </si>
  <si>
    <t xml:space="preserve">Variable cost per check (USD)</t>
  </si>
  <si>
    <t xml:space="preserve">CPU seconds x USD per vCPU-minute / 60 (cost.md section 3 formula).</t>
  </si>
  <si>
    <t xml:space="preserve">Variable cost per check (UZS)</t>
  </si>
  <si>
    <t xml:space="preserve">USD x exchange rate (Assumptions row 30).</t>
  </si>
  <si>
    <t xml:space="preserve">From ROI sheet.</t>
  </si>
  <si>
    <t xml:space="preserve">Annual variable CPU cost (UZS)</t>
  </si>
  <si>
    <t xml:space="preserve">Checks x cost per check. Effectively zero compared with fixed cost items.</t>
  </si>
  <si>
    <t xml:space="preserve">Always-on memory cost per month (USD)</t>
  </si>
  <si>
    <t xml:space="preserve">MB / 1024 x USD per GB-month. cost.md section 4: USD 11.51.</t>
  </si>
  <si>
    <t xml:space="preserve">Annual memory cost (UZS)</t>
  </si>
  <si>
    <t xml:space="preserve">12 months x monthly USD x exchange rate.</t>
  </si>
  <si>
    <t xml:space="preserve">Option 3 annual hosting, Railway (UZS)</t>
  </si>
  <si>
    <t xml:space="preserve">Variable CPU + always-on memory. Idle CPU, egress, storage not counted (cost.md section 6).</t>
  </si>
  <si>
    <t xml:space="preserve">B. Dedicated CPU server (Option 2: Hetzner AX42)</t>
  </si>
  <si>
    <t xml:space="preserve">Option 2 annual hosting, dedicated server (UZS)</t>
  </si>
  <si>
    <t xml:space="preserve">Flat monthly price x 12 x EUR rate. Price NOT confirmed on hetzner.com; rate is the 9 Sep 2026 cbu.uz value.</t>
  </si>
  <si>
    <t xml:space="preserve">Input check</t>
  </si>
  <si>
    <t xml:space="preserve">Flags missing server price or EUR rate.</t>
  </si>
  <si>
    <t xml:space="preserve">C. Option selected on Assumptions row 49</t>
  </si>
  <si>
    <t xml:space="preserve">Selected option (1 / 2 / 3)</t>
  </si>
  <si>
    <t xml:space="preserve">1 = GPU on-prem (original), 2 = dedicated CPU, 3 = cloud CPU.</t>
  </si>
  <si>
    <t xml:space="preserve">One-time hardware, selected option (UZS)</t>
  </si>
  <si>
    <t xml:space="preserve">Option 1 uses the original GPU server input (Assumptions row 26); options 2 and 3 are rented, no purchase.</t>
  </si>
  <si>
    <t xml:space="preserve">Annual hosting, selected option (UZS)</t>
  </si>
  <si>
    <t xml:space="preserve">Option 1 has no hosting line in the original model (0).</t>
  </si>
  <si>
    <t xml:space="preserve">D. All options side by side (independent of the selector; visit savings only)</t>
  </si>
  <si>
    <t xml:space="preserve">Option 1: GPU on-prem (original assumption)</t>
  </si>
  <si>
    <t xml:space="preserve">  One-time hardware (UZS)</t>
  </si>
  <si>
    <t xml:space="preserve">  Annual recurring cost incl. LLM (UZS)</t>
  </si>
  <si>
    <t xml:space="preserve">Support + licences/security + hosting (0) + LLM API (0: local LLM, option 1).</t>
  </si>
  <si>
    <t xml:space="preserve">  Annual net benefit, visit savings only (UZS)</t>
  </si>
  <si>
    <t xml:space="preserve">A - annual recurring cost.</t>
  </si>
  <si>
    <t xml:space="preserve">  Hardware-only payback, months (lower bound)</t>
  </si>
  <si>
    <t xml:space="preserve">Excludes pilot people cost (hours not entered yet).</t>
  </si>
  <si>
    <t xml:space="preserve">Option 2: dedicated CPU server (rental)</t>
  </si>
  <si>
    <t xml:space="preserve">Support + licences/security + hosting + LLM.</t>
  </si>
  <si>
    <t xml:space="preserve">Option 3: cloud CPU (Railway)</t>
  </si>
  <si>
    <t xml:space="preserve">Limits: development, dashboard hosting, audit log, bank officer time are not in the measured cost (cost.md section 6). Measured CPU times are from one 12-core Intel machine; a cloud vCPU may be slower or faster. Photo check numbers (repo, 11 Oct): 361 ms CPU single thread (cost.md), 280 ms wall on all cores (cost.md), p50 287 ms warm (metrics.md), 363 ms client-side incl. network (metrics_api.md). Use the 361 ms CPU figure for cost and say which figure a latency claim comes from.</t>
  </si>
  <si>
    <t xml:space="preserve">Check: reported prototype hosting vs modelled Railway cost</t>
  </si>
  <si>
    <t xml:space="preserve">Reported prototype hosting, annual (UZS)</t>
  </si>
  <si>
    <t xml:space="preserve">Railway Hobby plan fee USD 5/month x 12 (Oybek). Unverified.</t>
  </si>
  <si>
    <t xml:space="preserve">Modelled Option 3 hosting, annual (UZS)</t>
  </si>
  <si>
    <t xml:space="preserve">Memory 1,427 MB x USD 10/GB-month + CPU, from Railway public prices (Infra row 13).</t>
  </si>
  <si>
    <t xml:space="preserve">Modelled minus reported (UZS)</t>
  </si>
  <si>
    <t xml:space="preserve">If large, check the Railway Usage page: the plan fee alone may not be the full bill.</t>
  </si>
  <si>
    <t xml:space="preserve">E. LLM running cost by option</t>
  </si>
  <si>
    <t xml:space="preserve">Annual LLM API cost if an external API is used (UZS)</t>
  </si>
  <si>
    <t xml:space="preserve">Remote checks x USD per report x exchange rate. Prototype / benchmark price (Gemini 3.6 Flash).</t>
  </si>
  <si>
    <t xml:space="preserve">LLM API cost counted in the selected option (UZS)</t>
  </si>
  <si>
    <t xml:space="preserve">Option 1 = local LLM on the bank server: no API cost; the GPU server (row 19) is the cost, its power and operation are not included. Options 2-3 have no GPU, so an external API is assumed.</t>
  </si>
  <si>
    <t xml:space="preserve">Sensitivity (Base case, UZS million)</t>
  </si>
  <si>
    <t xml:space="preserve">Axis values in blue can be edited. Everything else is a formula on Base inputs. All inputs behind these tables are unverified assumptions or synthetic measurements.</t>
  </si>
  <si>
    <t xml:space="preserve">Table 1. Annual net benefit, visit savings only (UZS mln): visits per loan per year (rows) x cost per visit in UZS (columns)</t>
  </si>
  <si>
    <t xml:space="preserve">visits/year \ UZS per visit</t>
  </si>
  <si>
    <t xml:space="preserve">Grid points: 100k and 300k and 2-4 visits are the assumed range (Taxmin, unverified); 150k and 250k are interpolation; 50k is a stress case below that range. Recurring cost follows the selected infrastructure option and adds an LLM API part (options 2-3 only) that scales with visits.</t>
  </si>
  <si>
    <t xml:space="preserve">Table 2. Loss benefit vs simple rule (UZS mln): share of misused loans (rows) x share of amount recovered (columns); Base recall, N from Assumptions</t>
  </si>
  <si>
    <t xml:space="preserve">misused share \ recovery share</t>
  </si>
  <si>
    <t xml:space="preserve">3-7% is the assumed range (Taxmin, unverified); 13% is the fraud share of the synthetic dev split, not a real portfolio rate. 25/50/75% recovery are stress cases (100% is an upper bound). Baseline = simple rule 27.4% (synthetic), not the bank's method.</t>
  </si>
  <si>
    <t xml:space="preserve">Table 3. Base case vs share of loans still visited in person (visit savings only)</t>
  </si>
  <si>
    <t xml:space="preserve">share visited in person</t>
  </si>
  <si>
    <t xml:space="preserve">annual net benefit (UZS mln)</t>
  </si>
  <si>
    <t xml:space="preserve">payback (months, incl. pilot people cost)</t>
  </si>
  <si>
    <t xml:space="preserve">Base inputs (Assumptions column D). 20% = brief's visit budget; 50% = pessimistic regulator case. Shares above 20% would also raise the catch rate, but that is not measured, so no loss benefit is added.</t>
  </si>
  <si>
    <t xml:space="preserve">Sample cross-check (sample_loans.xlsx, synthetic)</t>
  </si>
  <si>
    <t xml:space="preserve">10 synthetic loans for illustration only. Too few and deliberately mixed (half fraud-labelled) to estimate any rate; used only to compare loan sizes with the 27.2 M UZS average misused amount.</t>
  </si>
  <si>
    <t xml:space="preserve">Loan ID</t>
  </si>
  <si>
    <t xml:space="preserve">Label (generator)</t>
  </si>
  <si>
    <t xml:space="preserve">Loan amount (UZS)</t>
  </si>
  <si>
    <t xml:space="preserve">Invoice amount (UZS)</t>
  </si>
  <si>
    <t xml:space="preserve">L000266</t>
  </si>
  <si>
    <t xml:space="preserve">halol</t>
  </si>
  <si>
    <t xml:space="preserve">L003592</t>
  </si>
  <si>
    <t xml:space="preserve">L002966</t>
  </si>
  <si>
    <t xml:space="preserve">L002235</t>
  </si>
  <si>
    <t xml:space="preserve">L002211</t>
  </si>
  <si>
    <t xml:space="preserve">L003933</t>
  </si>
  <si>
    <t xml:space="preserve">T1</t>
  </si>
  <si>
    <t xml:space="preserve">L000387</t>
  </si>
  <si>
    <t xml:space="preserve">T2</t>
  </si>
  <si>
    <t xml:space="preserve">L003795</t>
  </si>
  <si>
    <t xml:space="preserve">T3</t>
  </si>
  <si>
    <t xml:space="preserve">L001568</t>
  </si>
  <si>
    <t xml:space="preserve">T4</t>
  </si>
  <si>
    <t xml:space="preserve">L001289</t>
  </si>
  <si>
    <t xml:space="preserve">Loans in sample</t>
  </si>
  <si>
    <t xml:space="preserve">Fraud-labelled loans in sample</t>
  </si>
  <si>
    <t xml:space="preserve">Average loan amount, all (UZS)</t>
  </si>
  <si>
    <t xml:space="preserve">Average loan amount, fraud-labelled (UZS)</t>
  </si>
  <si>
    <t xml:space="preserve">Average misused amount per case in ROI model (UZS)</t>
  </si>
  <si>
    <t xml:space="preserve">Model misused amount / sample average loan</t>
  </si>
  <si>
    <t xml:space="preserve">Reading: the 27.2 M UZS per case (anhor.uz, nationwide regional inspections) is below typical loan sizes in the synthetic sample, so the model does not assume that a whole loan is lost. The synthetic loan sizes themselves are not a source for real MKBANK loans.</t>
  </si>
  <si>
    <t xml:space="preserve">Deck summary (all values are formulas from the ROI sheet; one-branch pilot)</t>
  </si>
  <si>
    <t xml:space="preserve">Every input is an assumption marked 'Taxmin' unless stated.</t>
  </si>
  <si>
    <t xml:space="preserve">Loans monitored in the pilot branch</t>
  </si>
  <si>
    <t xml:space="preserve">Visits saved per year</t>
  </si>
  <si>
    <t xml:space="preserve">Annual savings from visits (UZS mln)</t>
  </si>
  <si>
    <t xml:space="preserve">Annual recurring cost (UZS mln)</t>
  </si>
  <si>
    <t xml:space="preserve">Annual net benefit, visit savings only (UZS mln)</t>
  </si>
  <si>
    <t xml:space="preserve">One-time cost: hardware + pilot people (UZS mln)</t>
  </si>
  <si>
    <t xml:space="preserve">Payback (months), visit savings only</t>
  </si>
  <si>
    <t xml:space="preserve">Cost per remote check (UZS)</t>
  </si>
  <si>
    <t xml:space="preserve">Cost per physical visit (UZS)</t>
  </si>
  <si>
    <t xml:space="preserve">Model catch rate at 20% visit budget (synthetic holdout)</t>
  </si>
  <si>
    <t xml:space="preserve">Not included: recovered misused amounts (needs today's catch rate, measured in pilot month 1) and penalties.</t>
  </si>
  <si>
    <t xml:space="preserve">Catch rate is measured on synthetic data; real accuracy is measured on the bank's historical loans in pilot month 1.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</si>
</sst>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0.0%;\(0.0%\);\-"/>
    <numFmt numFmtId="167" formatCode="#,##0"/>
    <numFmt numFmtId="168" formatCode="0.00000"/>
    <numFmt numFmtId="169" formatCode="0.0%"/>
    <numFmt numFmtId="170" formatCode="0"/>
    <numFmt numFmtId="171" formatCode="0.000"/>
    <numFmt numFmtId="172" formatCode="0.000000"/>
    <numFmt numFmtId="173" formatCode="#,##0.00"/>
    <numFmt numFmtId="174" formatCode="0.00"/>
    <numFmt numFmtId="175" formatCode="@"/>
    <numFmt numFmtId="176" formatCode="#,##0.0;\(#,##0.0\);\-"/>
    <numFmt numFmtId="177" formatCode="#,##0.00;\(#,##0.00\);\-"/>
    <numFmt numFmtId="178" formatCode="0.0000%"/>
    <numFmt numFmtId="179" formatCode="0.0\x"/>
    <numFmt numFmtId="180" formatCode="0.00%"/>
    <numFmt numFmtId="181" formatCode="#,##0.000000;\(#,##0.000000\);\-"/>
    <numFmt numFmtId="182" formatCode="0%"/>
    <numFmt numFmtId="183" formatCode="0.0"/>
    <numFmt numFmtId="184" formatCode="#,##0.0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7365D"/>
      <name val="Calibri"/>
      <family val="2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7365D"/>
      </patternFill>
    </fill>
    <fill>
      <patternFill patternType="solid">
        <fgColor rgb="FFD9E2F3"/>
        <bgColor rgb="FFD9EAF7"/>
      </patternFill>
    </fill>
    <fill>
      <patternFill patternType="solid">
        <fgColor rgb="FFD9EAF7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8"/>
    <col collapsed="false" customWidth="true" hidden="false" outlineLevel="0" max="5" min="3" style="1" width="16"/>
    <col collapsed="false" customWidth="true" hidden="false" outlineLevel="0" max="6" min="6" style="1" width="15"/>
    <col collapsed="false" customWidth="true" hidden="false" outlineLevel="0" max="7" min="7" style="1" width="28"/>
    <col collapsed="false" customWidth="true" hidden="false" outlineLevel="0" max="8" min="8" style="1" width="85"/>
  </cols>
  <sheetData>
    <row r="1" customFormat="false" ht="17.25" hidden="false" customHeight="true" outlineLevel="0" collapsed="false">
      <c r="B1" s="2" t="s">
        <v>0</v>
      </c>
    </row>
    <row r="2" customFormat="false" ht="36" hidden="false" customHeight="true" outlineLevel="0" collapsed="false">
      <c r="B2" s="3" t="s">
        <v>1</v>
      </c>
      <c r="C2" s="4"/>
      <c r="D2" s="4"/>
      <c r="E2" s="4"/>
      <c r="F2" s="4"/>
      <c r="G2" s="4"/>
      <c r="H2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true" outlineLevel="0" collapsed="false">
      <c r="A5" s="6"/>
      <c r="B5" s="7" t="s">
        <v>10</v>
      </c>
      <c r="C5" s="6"/>
      <c r="D5" s="6"/>
      <c r="E5" s="6"/>
      <c r="F5" s="6"/>
      <c r="G5" s="6"/>
      <c r="H5" s="6"/>
    </row>
    <row r="6" customFormat="false" ht="42" hidden="false" customHeight="true" outlineLevel="0" collapsed="false">
      <c r="A6" s="8" t="n">
        <v>1</v>
      </c>
      <c r="B6" s="9" t="s">
        <v>11</v>
      </c>
      <c r="C6" s="10" t="n">
        <v>1540</v>
      </c>
      <c r="D6" s="11" t="n">
        <f aca="false">C6</f>
        <v>1540</v>
      </c>
      <c r="E6" s="11" t="n">
        <f aca="false">C6</f>
        <v>1540</v>
      </c>
      <c r="F6" s="8" t="s">
        <v>12</v>
      </c>
      <c r="G6" s="9" t="s">
        <v>13</v>
      </c>
      <c r="H6" s="9" t="s">
        <v>14</v>
      </c>
    </row>
    <row r="7" customFormat="false" ht="79.5" hidden="false" customHeight="true" outlineLevel="0" collapsed="false">
      <c r="A7" s="8" t="n">
        <v>2</v>
      </c>
      <c r="B7" s="9" t="s">
        <v>15</v>
      </c>
      <c r="C7" s="10" t="n">
        <v>2</v>
      </c>
      <c r="D7" s="11" t="n">
        <f aca="false">(C7+E7)/2</f>
        <v>3</v>
      </c>
      <c r="E7" s="10" t="n">
        <v>4</v>
      </c>
      <c r="F7" s="8" t="s">
        <v>16</v>
      </c>
      <c r="G7" s="9" t="s">
        <v>17</v>
      </c>
      <c r="H7" s="9" t="s">
        <v>18</v>
      </c>
    </row>
    <row r="8" customFormat="false" ht="79.5" hidden="false" customHeight="true" outlineLevel="0" collapsed="false">
      <c r="A8" s="8" t="n">
        <v>3</v>
      </c>
      <c r="B8" s="9" t="s">
        <v>19</v>
      </c>
      <c r="C8" s="10" t="n">
        <v>100000</v>
      </c>
      <c r="D8" s="11" t="n">
        <f aca="false">(C8+E8)/2</f>
        <v>200000</v>
      </c>
      <c r="E8" s="10" t="n">
        <v>300000</v>
      </c>
      <c r="F8" s="8" t="s">
        <v>20</v>
      </c>
      <c r="G8" s="9" t="s">
        <v>17</v>
      </c>
      <c r="H8" s="9" t="s">
        <v>21</v>
      </c>
    </row>
    <row r="9" customFormat="false" ht="54" hidden="false" customHeight="true" outlineLevel="0" collapsed="false">
      <c r="A9" s="8" t="n">
        <v>4</v>
      </c>
      <c r="B9" s="9" t="s">
        <v>22</v>
      </c>
      <c r="C9" s="12" t="n">
        <v>0.5</v>
      </c>
      <c r="D9" s="12" t="n">
        <v>0.2</v>
      </c>
      <c r="E9" s="12" t="n">
        <v>0.2</v>
      </c>
      <c r="F9" s="8" t="s">
        <v>23</v>
      </c>
      <c r="G9" s="9" t="s">
        <v>24</v>
      </c>
      <c r="H9" s="9" t="s">
        <v>25</v>
      </c>
    </row>
    <row r="10" customFormat="false" ht="15" hidden="false" customHeight="true" outlineLevel="0" collapsed="false">
      <c r="A10" s="6"/>
      <c r="B10" s="7" t="s">
        <v>26</v>
      </c>
      <c r="C10" s="6"/>
      <c r="D10" s="6"/>
      <c r="E10" s="6"/>
      <c r="F10" s="6"/>
      <c r="G10" s="6"/>
      <c r="H10" s="6"/>
    </row>
    <row r="11" customFormat="false" ht="79.5" hidden="false" customHeight="true" outlineLevel="0" collapsed="false">
      <c r="A11" s="8" t="n">
        <v>5</v>
      </c>
      <c r="B11" s="9" t="s">
        <v>27</v>
      </c>
      <c r="C11" s="12" t="n">
        <v>0.03</v>
      </c>
      <c r="D11" s="13" t="n">
        <f aca="false">(C11+E11)/2</f>
        <v>0.05</v>
      </c>
      <c r="E11" s="12" t="n">
        <v>0.07</v>
      </c>
      <c r="F11" s="8" t="s">
        <v>23</v>
      </c>
      <c r="G11" s="9" t="s">
        <v>17</v>
      </c>
      <c r="H11" s="9" t="s">
        <v>28</v>
      </c>
    </row>
    <row r="12" customFormat="false" ht="42" hidden="false" customHeight="true" outlineLevel="0" collapsed="false">
      <c r="A12" s="8" t="n">
        <v>6</v>
      </c>
      <c r="B12" s="9" t="s">
        <v>29</v>
      </c>
      <c r="C12" s="10" t="n">
        <v>68000000000</v>
      </c>
      <c r="D12" s="11" t="n">
        <f aca="false">C12</f>
        <v>68000000000</v>
      </c>
      <c r="E12" s="11" t="n">
        <f aca="false">C12</f>
        <v>68000000000</v>
      </c>
      <c r="F12" s="8" t="s">
        <v>30</v>
      </c>
      <c r="G12" s="9" t="s">
        <v>31</v>
      </c>
      <c r="H12" s="9" t="s">
        <v>32</v>
      </c>
    </row>
    <row r="13" customFormat="false" ht="27.75" hidden="false" customHeight="true" outlineLevel="0" collapsed="false">
      <c r="A13" s="8" t="n">
        <v>7</v>
      </c>
      <c r="B13" s="9" t="s">
        <v>33</v>
      </c>
      <c r="C13" s="10" t="n">
        <v>2500</v>
      </c>
      <c r="D13" s="11" t="n">
        <f aca="false">C13</f>
        <v>2500</v>
      </c>
      <c r="E13" s="11" t="n">
        <f aca="false">C13</f>
        <v>2500</v>
      </c>
      <c r="F13" s="8" t="s">
        <v>34</v>
      </c>
      <c r="G13" s="9" t="s">
        <v>31</v>
      </c>
      <c r="H13" s="9" t="s">
        <v>35</v>
      </c>
    </row>
    <row r="14" customFormat="false" ht="27.75" hidden="false" customHeight="true" outlineLevel="0" collapsed="false">
      <c r="A14" s="8" t="n">
        <v>8</v>
      </c>
      <c r="B14" s="9" t="s">
        <v>36</v>
      </c>
      <c r="C14" s="11" t="n">
        <f aca="false">C12/C13</f>
        <v>27200000</v>
      </c>
      <c r="D14" s="11" t="n">
        <f aca="false">D12/D13</f>
        <v>27200000</v>
      </c>
      <c r="E14" s="11" t="n">
        <f aca="false">E12/E13</f>
        <v>27200000</v>
      </c>
      <c r="F14" s="8" t="s">
        <v>37</v>
      </c>
      <c r="G14" s="9" t="s">
        <v>38</v>
      </c>
      <c r="H14" s="9" t="s">
        <v>39</v>
      </c>
    </row>
    <row r="15" customFormat="false" ht="79.5" hidden="false" customHeight="true" outlineLevel="0" collapsed="false">
      <c r="A15" s="8" t="n">
        <v>9</v>
      </c>
      <c r="B15" s="9" t="s">
        <v>40</v>
      </c>
      <c r="C15" s="12" t="n">
        <v>0.728</v>
      </c>
      <c r="D15" s="12" t="n">
        <v>0.782</v>
      </c>
      <c r="E15" s="12" t="n">
        <v>0.832</v>
      </c>
      <c r="F15" s="8" t="s">
        <v>41</v>
      </c>
      <c r="G15" s="9" t="s">
        <v>42</v>
      </c>
      <c r="H15" s="9" t="s">
        <v>43</v>
      </c>
    </row>
    <row r="16" customFormat="false" ht="79.5" hidden="false" customHeight="true" outlineLevel="0" collapsed="false">
      <c r="A16" s="8" t="n">
        <v>10</v>
      </c>
      <c r="B16" s="9" t="s">
        <v>44</v>
      </c>
      <c r="C16" s="12" t="n">
        <v>1</v>
      </c>
      <c r="D16" s="13" t="n">
        <f aca="false">C16</f>
        <v>1</v>
      </c>
      <c r="E16" s="13" t="n">
        <f aca="false">C16</f>
        <v>1</v>
      </c>
      <c r="F16" s="8" t="s">
        <v>45</v>
      </c>
      <c r="G16" s="9" t="s">
        <v>46</v>
      </c>
      <c r="H16" s="9" t="s">
        <v>47</v>
      </c>
    </row>
    <row r="17" customFormat="false" ht="54" hidden="false" customHeight="true" outlineLevel="0" collapsed="false">
      <c r="A17" s="8" t="n">
        <v>11</v>
      </c>
      <c r="B17" s="9" t="s">
        <v>48</v>
      </c>
      <c r="C17" s="12"/>
      <c r="D17" s="13" t="str">
        <f aca="false">IF(C17="","",C17)</f>
        <v/>
      </c>
      <c r="E17" s="13" t="str">
        <f aca="false">IF(C17="","",C17)</f>
        <v/>
      </c>
      <c r="F17" s="8" t="s">
        <v>41</v>
      </c>
      <c r="G17" s="9" t="s">
        <v>49</v>
      </c>
      <c r="H17" s="9" t="s">
        <v>50</v>
      </c>
    </row>
    <row r="18" customFormat="false" ht="79.5" hidden="false" customHeight="true" outlineLevel="0" collapsed="false">
      <c r="A18" s="8" t="n">
        <v>12</v>
      </c>
      <c r="B18" s="9" t="s">
        <v>51</v>
      </c>
      <c r="C18" s="12" t="n">
        <v>0.1</v>
      </c>
      <c r="D18" s="13" t="n">
        <f aca="false">(C18+E18)/2</f>
        <v>0.175</v>
      </c>
      <c r="E18" s="12" t="n">
        <v>0.25</v>
      </c>
      <c r="F18" s="8" t="s">
        <v>45</v>
      </c>
      <c r="G18" s="9" t="s">
        <v>17</v>
      </c>
      <c r="H18" s="9" t="s">
        <v>52</v>
      </c>
    </row>
    <row r="19" customFormat="false" ht="15" hidden="false" customHeight="true" outlineLevel="0" collapsed="false">
      <c r="A19" s="6"/>
      <c r="B19" s="7" t="s">
        <v>53</v>
      </c>
      <c r="C19" s="6"/>
      <c r="D19" s="6"/>
      <c r="E19" s="6"/>
      <c r="F19" s="6"/>
      <c r="G19" s="6"/>
      <c r="H19" s="6"/>
    </row>
    <row r="20" customFormat="false" ht="79.5" hidden="false" customHeight="true" outlineLevel="0" collapsed="false">
      <c r="A20" s="8" t="n">
        <v>13</v>
      </c>
      <c r="B20" s="9" t="s">
        <v>54</v>
      </c>
      <c r="C20" s="10" t="n">
        <v>90000</v>
      </c>
      <c r="D20" s="11" t="n">
        <f aca="false">C20</f>
        <v>90000</v>
      </c>
      <c r="E20" s="11" t="n">
        <f aca="false">C20</f>
        <v>90000</v>
      </c>
      <c r="F20" s="8" t="s">
        <v>55</v>
      </c>
      <c r="G20" s="9" t="s">
        <v>56</v>
      </c>
      <c r="H20" s="9" t="s">
        <v>57</v>
      </c>
    </row>
    <row r="21" customFormat="false" ht="79.5" hidden="false" customHeight="true" outlineLevel="0" collapsed="false">
      <c r="A21" s="8" t="n">
        <v>14</v>
      </c>
      <c r="B21" s="9" t="s">
        <v>58</v>
      </c>
      <c r="C21" s="10" t="n">
        <v>80000</v>
      </c>
      <c r="D21" s="11" t="n">
        <f aca="false">C21</f>
        <v>80000</v>
      </c>
      <c r="E21" s="11" t="n">
        <f aca="false">C21</f>
        <v>80000</v>
      </c>
      <c r="F21" s="8" t="s">
        <v>55</v>
      </c>
      <c r="G21" s="9" t="s">
        <v>56</v>
      </c>
      <c r="H21" s="9" t="s">
        <v>57</v>
      </c>
    </row>
    <row r="22" customFormat="false" ht="79.5" hidden="false" customHeight="true" outlineLevel="0" collapsed="false">
      <c r="A22" s="8" t="n">
        <v>15</v>
      </c>
      <c r="B22" s="9" t="s">
        <v>59</v>
      </c>
      <c r="C22" s="10" t="n">
        <v>60000</v>
      </c>
      <c r="D22" s="11" t="n">
        <f aca="false">C22</f>
        <v>60000</v>
      </c>
      <c r="E22" s="11" t="n">
        <f aca="false">C22</f>
        <v>60000</v>
      </c>
      <c r="F22" s="8" t="s">
        <v>55</v>
      </c>
      <c r="G22" s="9" t="s">
        <v>56</v>
      </c>
      <c r="H22" s="9" t="s">
        <v>57</v>
      </c>
    </row>
    <row r="23" customFormat="false" ht="109.5" hidden="false" customHeight="true" outlineLevel="0" collapsed="false">
      <c r="A23" s="8" t="n">
        <v>16</v>
      </c>
      <c r="B23" s="9" t="s">
        <v>60</v>
      </c>
      <c r="C23" s="14" t="n">
        <v>320</v>
      </c>
      <c r="D23" s="14" t="n">
        <v>220</v>
      </c>
      <c r="E23" s="14" t="n">
        <v>140</v>
      </c>
      <c r="F23" s="8" t="s">
        <v>61</v>
      </c>
      <c r="G23" s="9" t="s">
        <v>62</v>
      </c>
      <c r="H23" s="9" t="s">
        <v>63</v>
      </c>
    </row>
    <row r="24" customFormat="false" ht="109.5" hidden="false" customHeight="true" outlineLevel="0" collapsed="false">
      <c r="A24" s="8" t="n">
        <v>17</v>
      </c>
      <c r="B24" s="9" t="s">
        <v>64</v>
      </c>
      <c r="C24" s="14" t="n">
        <v>520</v>
      </c>
      <c r="D24" s="14" t="n">
        <v>340</v>
      </c>
      <c r="E24" s="14" t="n">
        <v>240</v>
      </c>
      <c r="F24" s="8" t="s">
        <v>61</v>
      </c>
      <c r="G24" s="9" t="s">
        <v>65</v>
      </c>
      <c r="H24" s="9" t="s">
        <v>66</v>
      </c>
    </row>
    <row r="25" customFormat="false" ht="96" hidden="false" customHeight="true" outlineLevel="0" collapsed="false">
      <c r="A25" s="8" t="n">
        <v>18</v>
      </c>
      <c r="B25" s="9" t="s">
        <v>67</v>
      </c>
      <c r="C25" s="14" t="n">
        <v>240</v>
      </c>
      <c r="D25" s="14" t="n">
        <v>160</v>
      </c>
      <c r="E25" s="14" t="n">
        <v>100</v>
      </c>
      <c r="F25" s="8" t="s">
        <v>61</v>
      </c>
      <c r="G25" s="9" t="s">
        <v>68</v>
      </c>
      <c r="H25" s="9" t="s">
        <v>69</v>
      </c>
    </row>
    <row r="26" customFormat="false" ht="79.5" hidden="false" customHeight="true" outlineLevel="0" collapsed="false">
      <c r="A26" s="8" t="n">
        <v>19</v>
      </c>
      <c r="B26" s="9" t="s">
        <v>70</v>
      </c>
      <c r="C26" s="10" t="n">
        <v>142000000</v>
      </c>
      <c r="D26" s="11" t="n">
        <f aca="false">(C26+E26)/2</f>
        <v>118500000</v>
      </c>
      <c r="E26" s="10" t="n">
        <v>95000000</v>
      </c>
      <c r="F26" s="8" t="s">
        <v>30</v>
      </c>
      <c r="G26" s="9" t="s">
        <v>71</v>
      </c>
      <c r="H26" s="9" t="s">
        <v>72</v>
      </c>
    </row>
    <row r="27" customFormat="false" ht="79.5" hidden="false" customHeight="true" outlineLevel="0" collapsed="false">
      <c r="A27" s="8" t="n">
        <v>20</v>
      </c>
      <c r="B27" s="9" t="s">
        <v>73</v>
      </c>
      <c r="C27" s="10" t="n">
        <v>57600000</v>
      </c>
      <c r="D27" s="11" t="n">
        <f aca="false">C27</f>
        <v>57600000</v>
      </c>
      <c r="E27" s="11" t="n">
        <f aca="false">C27</f>
        <v>57600000</v>
      </c>
      <c r="F27" s="8" t="s">
        <v>74</v>
      </c>
      <c r="G27" s="9" t="s">
        <v>17</v>
      </c>
      <c r="H27" s="9" t="s">
        <v>75</v>
      </c>
    </row>
    <row r="28" customFormat="false" ht="79.5" hidden="false" customHeight="true" outlineLevel="0" collapsed="false">
      <c r="A28" s="8" t="n">
        <v>21</v>
      </c>
      <c r="B28" s="9" t="s">
        <v>76</v>
      </c>
      <c r="C28" s="10" t="n">
        <v>15000000</v>
      </c>
      <c r="D28" s="11" t="n">
        <f aca="false">(C28+E28)/2</f>
        <v>12500000</v>
      </c>
      <c r="E28" s="10" t="n">
        <v>10000000</v>
      </c>
      <c r="F28" s="8" t="s">
        <v>74</v>
      </c>
      <c r="G28" s="9" t="s">
        <v>17</v>
      </c>
      <c r="H28" s="9" t="s">
        <v>77</v>
      </c>
    </row>
    <row r="29" customFormat="false" ht="96" hidden="false" customHeight="true" outlineLevel="0" collapsed="false">
      <c r="A29" s="8" t="n">
        <v>22</v>
      </c>
      <c r="B29" s="9" t="s">
        <v>78</v>
      </c>
      <c r="C29" s="15" t="n">
        <v>0.0125</v>
      </c>
      <c r="D29" s="16" t="n">
        <f aca="false">D70</f>
        <v>0.00687</v>
      </c>
      <c r="E29" s="15" t="n">
        <f aca="false">E69</f>
        <v>0.003435</v>
      </c>
      <c r="F29" s="8" t="s">
        <v>79</v>
      </c>
      <c r="G29" s="9" t="s">
        <v>80</v>
      </c>
      <c r="H29" s="9" t="s">
        <v>81</v>
      </c>
    </row>
    <row r="30" customFormat="false" ht="79.5" hidden="false" customHeight="true" outlineLevel="0" collapsed="false">
      <c r="A30" s="8" t="n">
        <v>23</v>
      </c>
      <c r="B30" s="9" t="s">
        <v>82</v>
      </c>
      <c r="C30" s="10" t="n">
        <v>11846.57</v>
      </c>
      <c r="D30" s="11" t="n">
        <f aca="false">C30</f>
        <v>11846.57</v>
      </c>
      <c r="E30" s="11" t="n">
        <f aca="false">C30</f>
        <v>11846.57</v>
      </c>
      <c r="F30" s="8" t="s">
        <v>83</v>
      </c>
      <c r="G30" s="9" t="s">
        <v>84</v>
      </c>
      <c r="H30" s="9" t="s">
        <v>85</v>
      </c>
    </row>
    <row r="31" customFormat="false" ht="27.75" hidden="false" customHeight="true" outlineLevel="0" collapsed="false">
      <c r="A31" s="8" t="n">
        <v>24</v>
      </c>
      <c r="B31" s="9" t="s">
        <v>86</v>
      </c>
      <c r="C31" s="11" t="n">
        <f aca="false">C7</f>
        <v>2</v>
      </c>
      <c r="D31" s="11" t="n">
        <f aca="false">D7</f>
        <v>3</v>
      </c>
      <c r="E31" s="11" t="n">
        <f aca="false">E7</f>
        <v>4</v>
      </c>
      <c r="F31" s="8" t="s">
        <v>87</v>
      </c>
      <c r="G31" s="9" t="s">
        <v>88</v>
      </c>
      <c r="H31" s="9" t="s">
        <v>89</v>
      </c>
    </row>
    <row r="33" customFormat="false" ht="15" hidden="false" customHeight="true" outlineLevel="0" collapsed="false">
      <c r="A33" s="6"/>
      <c r="B33" s="7" t="s">
        <v>90</v>
      </c>
      <c r="C33" s="6"/>
      <c r="D33" s="6"/>
      <c r="E33" s="6"/>
      <c r="F33" s="6"/>
      <c r="G33" s="6"/>
      <c r="H33" s="6"/>
    </row>
    <row r="34" customFormat="false" ht="30" hidden="false" customHeight="true" outlineLevel="0" collapsed="false">
      <c r="A34" s="8" t="n">
        <v>32</v>
      </c>
      <c r="B34" s="9" t="s">
        <v>91</v>
      </c>
      <c r="C34" s="17"/>
      <c r="D34" s="18" t="n">
        <v>0.782</v>
      </c>
      <c r="E34" s="17"/>
      <c r="F34" s="8" t="s">
        <v>92</v>
      </c>
      <c r="G34" s="9" t="s">
        <v>42</v>
      </c>
      <c r="H34" s="9" t="s">
        <v>93</v>
      </c>
    </row>
    <row r="35" customFormat="false" ht="30" hidden="false" customHeight="true" outlineLevel="0" collapsed="false">
      <c r="A35" s="8" t="n">
        <v>33</v>
      </c>
      <c r="B35" s="9" t="s">
        <v>94</v>
      </c>
      <c r="C35" s="17"/>
      <c r="D35" s="18" t="n">
        <v>0.274</v>
      </c>
      <c r="E35" s="17"/>
      <c r="F35" s="8" t="s">
        <v>92</v>
      </c>
      <c r="G35" s="9" t="s">
        <v>42</v>
      </c>
      <c r="H35" s="9" t="s">
        <v>95</v>
      </c>
    </row>
    <row r="36" customFormat="false" ht="30" hidden="false" customHeight="true" outlineLevel="0" collapsed="false">
      <c r="A36" s="8" t="n">
        <v>34</v>
      </c>
      <c r="B36" s="9" t="s">
        <v>96</v>
      </c>
      <c r="C36" s="17"/>
      <c r="D36" s="18" t="n">
        <v>0.2</v>
      </c>
      <c r="E36" s="17"/>
      <c r="F36" s="8" t="s">
        <v>92</v>
      </c>
      <c r="G36" s="9" t="s">
        <v>42</v>
      </c>
      <c r="H36" s="9" t="s">
        <v>97</v>
      </c>
    </row>
    <row r="37" customFormat="false" ht="30" hidden="false" customHeight="true" outlineLevel="0" collapsed="false">
      <c r="A37" s="8" t="n">
        <v>35</v>
      </c>
      <c r="B37" s="9" t="s">
        <v>98</v>
      </c>
      <c r="C37" s="17"/>
      <c r="D37" s="18" t="n">
        <v>0.99</v>
      </c>
      <c r="E37" s="17"/>
      <c r="F37" s="8" t="s">
        <v>92</v>
      </c>
      <c r="G37" s="9" t="s">
        <v>42</v>
      </c>
      <c r="H37" s="9" t="s">
        <v>99</v>
      </c>
    </row>
    <row r="38" customFormat="false" ht="30" hidden="false" customHeight="true" outlineLevel="0" collapsed="false">
      <c r="A38" s="8" t="n">
        <v>36</v>
      </c>
      <c r="B38" s="9" t="s">
        <v>100</v>
      </c>
      <c r="C38" s="17"/>
      <c r="D38" s="18" t="n">
        <v>0.93</v>
      </c>
      <c r="E38" s="17"/>
      <c r="F38" s="8" t="s">
        <v>92</v>
      </c>
      <c r="G38" s="9" t="s">
        <v>42</v>
      </c>
      <c r="H38" s="9" t="s">
        <v>101</v>
      </c>
    </row>
    <row r="39" customFormat="false" ht="30" hidden="false" customHeight="true" outlineLevel="0" collapsed="false">
      <c r="A39" s="8" t="n">
        <v>37</v>
      </c>
      <c r="B39" s="9" t="s">
        <v>102</v>
      </c>
      <c r="C39" s="17"/>
      <c r="D39" s="18" t="n">
        <v>0.57</v>
      </c>
      <c r="E39" s="17"/>
      <c r="F39" s="8" t="s">
        <v>92</v>
      </c>
      <c r="G39" s="9" t="s">
        <v>42</v>
      </c>
      <c r="H39" s="9" t="s">
        <v>103</v>
      </c>
    </row>
    <row r="40" customFormat="false" ht="30" hidden="false" customHeight="true" outlineLevel="0" collapsed="false">
      <c r="A40" s="8" t="n">
        <v>38</v>
      </c>
      <c r="B40" s="9" t="s">
        <v>104</v>
      </c>
      <c r="C40" s="17"/>
      <c r="D40" s="18" t="n">
        <v>0.45</v>
      </c>
      <c r="E40" s="17"/>
      <c r="F40" s="8" t="s">
        <v>92</v>
      </c>
      <c r="G40" s="9" t="s">
        <v>42</v>
      </c>
      <c r="H40" s="9" t="s">
        <v>105</v>
      </c>
    </row>
    <row r="42" customFormat="false" ht="15" hidden="false" customHeight="true" outlineLevel="0" collapsed="false">
      <c r="B42" s="19" t="s">
        <v>106</v>
      </c>
      <c r="C42" s="19"/>
      <c r="D42" s="19"/>
      <c r="E42" s="19"/>
      <c r="F42" s="19"/>
      <c r="G42" s="19"/>
      <c r="H42" s="19"/>
    </row>
    <row r="43" customFormat="false" ht="31.5" hidden="false" customHeight="true" outlineLevel="0" collapsed="false">
      <c r="B43" s="20" t="s">
        <v>107</v>
      </c>
      <c r="H43" s="4" t="s">
        <v>108</v>
      </c>
    </row>
    <row r="44" customFormat="false" ht="31.5" hidden="false" customHeight="true" outlineLevel="0" collapsed="false">
      <c r="B44" s="20" t="s">
        <v>109</v>
      </c>
      <c r="H44" s="4" t="s">
        <v>110</v>
      </c>
    </row>
    <row r="45" customFormat="false" ht="31.5" hidden="false" customHeight="true" outlineLevel="0" collapsed="false">
      <c r="B45" s="20" t="s">
        <v>111</v>
      </c>
      <c r="H45" s="4" t="s">
        <v>112</v>
      </c>
    </row>
    <row r="46" customFormat="false" ht="31.5" hidden="false" customHeight="true" outlineLevel="0" collapsed="false">
      <c r="B46" s="20" t="s">
        <v>113</v>
      </c>
      <c r="H46" s="4" t="s">
        <v>114</v>
      </c>
    </row>
    <row r="48" customFormat="false" ht="15" hidden="false" customHeight="true" outlineLevel="0" collapsed="false">
      <c r="A48" s="6"/>
      <c r="B48" s="21" t="s">
        <v>115</v>
      </c>
      <c r="C48" s="6"/>
      <c r="D48" s="6"/>
      <c r="E48" s="6"/>
      <c r="F48" s="6"/>
      <c r="G48" s="6"/>
      <c r="H48" s="6"/>
    </row>
    <row r="49" customFormat="false" ht="66" hidden="false" customHeight="true" outlineLevel="0" collapsed="false">
      <c r="A49" s="9" t="n">
        <v>39</v>
      </c>
      <c r="B49" s="9" t="s">
        <v>116</v>
      </c>
      <c r="C49" s="22" t="n">
        <v>1</v>
      </c>
      <c r="D49" s="23" t="n">
        <f aca="false">C49</f>
        <v>1</v>
      </c>
      <c r="E49" s="23" t="n">
        <f aca="false">C49</f>
        <v>1</v>
      </c>
      <c r="F49" s="9" t="s">
        <v>117</v>
      </c>
      <c r="G49" s="9" t="s">
        <v>118</v>
      </c>
      <c r="H49" s="9" t="s">
        <v>119</v>
      </c>
    </row>
    <row r="50" customFormat="false" ht="54" hidden="false" customHeight="true" outlineLevel="0" collapsed="false">
      <c r="A50" s="9" t="n">
        <v>40</v>
      </c>
      <c r="B50" s="9" t="s">
        <v>120</v>
      </c>
      <c r="C50" s="24" t="n">
        <v>0.003</v>
      </c>
      <c r="D50" s="25" t="n">
        <f aca="false">C50</f>
        <v>0.003</v>
      </c>
      <c r="E50" s="25" t="n">
        <f aca="false">C50</f>
        <v>0.003</v>
      </c>
      <c r="F50" s="9" t="s">
        <v>121</v>
      </c>
      <c r="G50" s="9" t="s">
        <v>122</v>
      </c>
      <c r="H50" s="9" t="s">
        <v>123</v>
      </c>
    </row>
    <row r="51" customFormat="false" ht="54" hidden="false" customHeight="true" outlineLevel="0" collapsed="false">
      <c r="A51" s="9" t="n">
        <v>41</v>
      </c>
      <c r="B51" s="9" t="s">
        <v>124</v>
      </c>
      <c r="C51" s="24" t="n">
        <v>0.102</v>
      </c>
      <c r="D51" s="25" t="n">
        <f aca="false">C51</f>
        <v>0.102</v>
      </c>
      <c r="E51" s="25" t="n">
        <f aca="false">C51</f>
        <v>0.102</v>
      </c>
      <c r="F51" s="9" t="s">
        <v>121</v>
      </c>
      <c r="G51" s="9" t="s">
        <v>122</v>
      </c>
      <c r="H51" s="9" t="s">
        <v>125</v>
      </c>
    </row>
    <row r="52" customFormat="false" ht="54" hidden="false" customHeight="true" outlineLevel="0" collapsed="false">
      <c r="A52" s="9" t="n">
        <v>42</v>
      </c>
      <c r="B52" s="9" t="s">
        <v>126</v>
      </c>
      <c r="C52" s="24" t="n">
        <v>0.361</v>
      </c>
      <c r="D52" s="25" t="n">
        <f aca="false">C52</f>
        <v>0.361</v>
      </c>
      <c r="E52" s="25" t="n">
        <f aca="false">C52</f>
        <v>0.361</v>
      </c>
      <c r="F52" s="9" t="s">
        <v>121</v>
      </c>
      <c r="G52" s="9" t="s">
        <v>122</v>
      </c>
      <c r="H52" s="9" t="s">
        <v>127</v>
      </c>
    </row>
    <row r="53" customFormat="false" ht="54" hidden="false" customHeight="true" outlineLevel="0" collapsed="false">
      <c r="A53" s="9" t="n">
        <v>43</v>
      </c>
      <c r="B53" s="9" t="s">
        <v>128</v>
      </c>
      <c r="C53" s="26" t="n">
        <v>1427</v>
      </c>
      <c r="D53" s="27" t="n">
        <f aca="false">C53</f>
        <v>1427</v>
      </c>
      <c r="E53" s="27" t="n">
        <f aca="false">C53</f>
        <v>1427</v>
      </c>
      <c r="F53" s="9" t="s">
        <v>129</v>
      </c>
      <c r="G53" s="9" t="s">
        <v>130</v>
      </c>
      <c r="H53" s="9" t="s">
        <v>131</v>
      </c>
    </row>
    <row r="54" customFormat="false" ht="54" hidden="false" customHeight="true" outlineLevel="0" collapsed="false">
      <c r="A54" s="9" t="n">
        <v>44</v>
      </c>
      <c r="B54" s="9" t="s">
        <v>132</v>
      </c>
      <c r="C54" s="28" t="n">
        <v>0.000463</v>
      </c>
      <c r="D54" s="29" t="n">
        <f aca="false">C54</f>
        <v>0.000463</v>
      </c>
      <c r="E54" s="29" t="n">
        <f aca="false">C54</f>
        <v>0.000463</v>
      </c>
      <c r="F54" s="9" t="s">
        <v>133</v>
      </c>
      <c r="G54" s="9" t="s">
        <v>134</v>
      </c>
      <c r="H54" s="9" t="s">
        <v>135</v>
      </c>
    </row>
    <row r="55" customFormat="false" ht="54" hidden="false" customHeight="true" outlineLevel="0" collapsed="false">
      <c r="A55" s="9" t="n">
        <v>45</v>
      </c>
      <c r="B55" s="9" t="s">
        <v>136</v>
      </c>
      <c r="C55" s="30" t="n">
        <v>10</v>
      </c>
      <c r="D55" s="31" t="n">
        <f aca="false">C55</f>
        <v>10</v>
      </c>
      <c r="E55" s="31" t="n">
        <f aca="false">C55</f>
        <v>10</v>
      </c>
      <c r="F55" s="9" t="s">
        <v>137</v>
      </c>
      <c r="G55" s="9" t="s">
        <v>134</v>
      </c>
      <c r="H55" s="9" t="s">
        <v>138</v>
      </c>
    </row>
    <row r="56" customFormat="false" ht="66" hidden="false" customHeight="true" outlineLevel="0" collapsed="false">
      <c r="A56" s="9" t="n">
        <v>46</v>
      </c>
      <c r="B56" s="9" t="s">
        <v>139</v>
      </c>
      <c r="C56" s="30" t="n">
        <v>68.19</v>
      </c>
      <c r="D56" s="31" t="n">
        <f aca="false">C56</f>
        <v>68.19</v>
      </c>
      <c r="E56" s="31" t="n">
        <f aca="false">C56</f>
        <v>68.19</v>
      </c>
      <c r="F56" s="9" t="s">
        <v>140</v>
      </c>
      <c r="G56" s="9" t="s">
        <v>141</v>
      </c>
      <c r="H56" s="9" t="s">
        <v>142</v>
      </c>
    </row>
    <row r="57" customFormat="false" ht="54" hidden="false" customHeight="true" outlineLevel="0" collapsed="false">
      <c r="A57" s="9" t="n">
        <v>47</v>
      </c>
      <c r="B57" s="9" t="s">
        <v>143</v>
      </c>
      <c r="C57" s="30" t="n">
        <v>13240.91</v>
      </c>
      <c r="D57" s="31" t="n">
        <f aca="false">C57</f>
        <v>13240.91</v>
      </c>
      <c r="E57" s="31" t="n">
        <f aca="false">C57</f>
        <v>13240.91</v>
      </c>
      <c r="F57" s="9" t="s">
        <v>144</v>
      </c>
      <c r="G57" s="9" t="s">
        <v>84</v>
      </c>
      <c r="H57" s="9" t="s">
        <v>145</v>
      </c>
    </row>
    <row r="58" customFormat="false" ht="54" hidden="false" customHeight="true" outlineLevel="0" collapsed="false">
      <c r="A58" s="9" t="n">
        <v>48</v>
      </c>
      <c r="B58" s="9" t="s">
        <v>146</v>
      </c>
      <c r="C58" s="32" t="n">
        <v>0.0034</v>
      </c>
      <c r="D58" s="33" t="n">
        <f aca="false">C58</f>
        <v>0.0034</v>
      </c>
      <c r="E58" s="33" t="n">
        <f aca="false">C58</f>
        <v>0.0034</v>
      </c>
      <c r="F58" s="9" t="s">
        <v>147</v>
      </c>
      <c r="G58" s="9" t="s">
        <v>148</v>
      </c>
      <c r="H58" s="9" t="s">
        <v>149</v>
      </c>
    </row>
    <row r="60" customFormat="false" ht="31.5" hidden="false" customHeight="true" outlineLevel="0" collapsed="false">
      <c r="B60" s="34" t="s">
        <v>150</v>
      </c>
      <c r="C60" s="34"/>
      <c r="D60" s="34"/>
      <c r="E60" s="34"/>
      <c r="F60" s="34"/>
      <c r="G60" s="34"/>
      <c r="H60" s="34"/>
    </row>
    <row r="62" customFormat="false" ht="15" hidden="false" customHeight="true" outlineLevel="0" collapsed="false">
      <c r="A62" s="35"/>
      <c r="B62" s="21" t="s">
        <v>151</v>
      </c>
      <c r="C62" s="35"/>
      <c r="D62" s="35"/>
      <c r="E62" s="35"/>
      <c r="F62" s="35"/>
      <c r="G62" s="35"/>
      <c r="H62" s="35"/>
    </row>
    <row r="63" customFormat="false" ht="42" hidden="false" customHeight="true" outlineLevel="0" collapsed="false">
      <c r="A63" s="9" t="n">
        <v>49</v>
      </c>
      <c r="B63" s="9" t="s">
        <v>152</v>
      </c>
      <c r="C63" s="36" t="n">
        <v>0.75</v>
      </c>
      <c r="D63" s="37" t="n">
        <f aca="false">C63</f>
        <v>0.75</v>
      </c>
      <c r="E63" s="37" t="n">
        <f aca="false">C63</f>
        <v>0.75</v>
      </c>
      <c r="F63" s="9" t="s">
        <v>153</v>
      </c>
      <c r="G63" s="9" t="s">
        <v>154</v>
      </c>
      <c r="H63" s="9" t="s">
        <v>155</v>
      </c>
    </row>
    <row r="64" customFormat="false" ht="42" hidden="false" customHeight="true" outlineLevel="0" collapsed="false">
      <c r="A64" s="9" t="n">
        <v>50</v>
      </c>
      <c r="B64" s="9" t="s">
        <v>156</v>
      </c>
      <c r="C64" s="36" t="n">
        <v>3.75</v>
      </c>
      <c r="D64" s="37" t="n">
        <f aca="false">C64</f>
        <v>3.75</v>
      </c>
      <c r="E64" s="37" t="n">
        <f aca="false">C64</f>
        <v>3.75</v>
      </c>
      <c r="F64" s="9" t="s">
        <v>153</v>
      </c>
      <c r="G64" s="9" t="s">
        <v>154</v>
      </c>
      <c r="H64" s="9" t="s">
        <v>157</v>
      </c>
    </row>
    <row r="65" customFormat="false" ht="42" hidden="false" customHeight="true" outlineLevel="0" collapsed="false">
      <c r="A65" s="9" t="n">
        <v>51</v>
      </c>
      <c r="B65" s="9" t="s">
        <v>158</v>
      </c>
      <c r="C65" s="36" t="n">
        <v>1.5</v>
      </c>
      <c r="D65" s="37" t="n">
        <f aca="false">C65</f>
        <v>1.5</v>
      </c>
      <c r="E65" s="37" t="n">
        <f aca="false">C65</f>
        <v>1.5</v>
      </c>
      <c r="F65" s="9" t="s">
        <v>153</v>
      </c>
      <c r="G65" s="9" t="s">
        <v>154</v>
      </c>
      <c r="H65" s="9" t="s">
        <v>159</v>
      </c>
    </row>
    <row r="66" customFormat="false" ht="42" hidden="false" customHeight="true" outlineLevel="0" collapsed="false">
      <c r="A66" s="9" t="n">
        <v>52</v>
      </c>
      <c r="B66" s="9" t="s">
        <v>160</v>
      </c>
      <c r="C66" s="36" t="n">
        <v>7.5</v>
      </c>
      <c r="D66" s="37" t="n">
        <f aca="false">C66</f>
        <v>7.5</v>
      </c>
      <c r="E66" s="37" t="n">
        <f aca="false">C66</f>
        <v>7.5</v>
      </c>
      <c r="F66" s="9" t="s">
        <v>153</v>
      </c>
      <c r="G66" s="9" t="s">
        <v>154</v>
      </c>
      <c r="H66" s="9" t="s">
        <v>157</v>
      </c>
    </row>
    <row r="67" customFormat="false" ht="42" hidden="false" customHeight="true" outlineLevel="0" collapsed="false">
      <c r="A67" s="9" t="n">
        <v>53</v>
      </c>
      <c r="B67" s="9" t="s">
        <v>161</v>
      </c>
      <c r="C67" s="26" t="n">
        <v>1230</v>
      </c>
      <c r="D67" s="27" t="n">
        <f aca="false">C67</f>
        <v>1230</v>
      </c>
      <c r="E67" s="27" t="n">
        <f aca="false">C67</f>
        <v>1230</v>
      </c>
      <c r="F67" s="9" t="s">
        <v>162</v>
      </c>
      <c r="G67" s="9" t="s">
        <v>163</v>
      </c>
      <c r="H67" s="9" t="s">
        <v>164</v>
      </c>
    </row>
    <row r="68" customFormat="false" ht="42" hidden="false" customHeight="true" outlineLevel="0" collapsed="false">
      <c r="A68" s="9" t="n">
        <v>54</v>
      </c>
      <c r="B68" s="9" t="s">
        <v>165</v>
      </c>
      <c r="C68" s="26" t="n">
        <v>670</v>
      </c>
      <c r="D68" s="27" t="n">
        <f aca="false">C68</f>
        <v>670</v>
      </c>
      <c r="E68" s="27" t="n">
        <f aca="false">C68</f>
        <v>670</v>
      </c>
      <c r="F68" s="9" t="s">
        <v>162</v>
      </c>
      <c r="G68" s="9" t="s">
        <v>163</v>
      </c>
      <c r="H68" s="9" t="s">
        <v>166</v>
      </c>
    </row>
    <row r="69" customFormat="false" ht="30" hidden="false" customHeight="true" outlineLevel="0" collapsed="false">
      <c r="A69" s="9" t="n">
        <v>55</v>
      </c>
      <c r="B69" s="9" t="s">
        <v>167</v>
      </c>
      <c r="C69" s="33" t="n">
        <f aca="false">(C67*C63+C68*C64)/1000000</f>
        <v>0.003435</v>
      </c>
      <c r="D69" s="33" t="n">
        <f aca="false">(D67*D63+D68*D64)/1000000</f>
        <v>0.003435</v>
      </c>
      <c r="E69" s="33" t="n">
        <f aca="false">(E67*E63+E68*E64)/1000000</f>
        <v>0.003435</v>
      </c>
      <c r="F69" s="9" t="s">
        <v>147</v>
      </c>
      <c r="G69" s="9" t="s">
        <v>168</v>
      </c>
      <c r="H69" s="9" t="s">
        <v>169</v>
      </c>
    </row>
    <row r="70" customFormat="false" ht="30" hidden="false" customHeight="true" outlineLevel="0" collapsed="false">
      <c r="A70" s="9" t="n">
        <v>56</v>
      </c>
      <c r="B70" s="9" t="s">
        <v>170</v>
      </c>
      <c r="C70" s="33" t="n">
        <f aca="false">(C67*C65+C68*C66)/1000000</f>
        <v>0.00687</v>
      </c>
      <c r="D70" s="33" t="n">
        <f aca="false">(D67*D65+D68*D66)/1000000</f>
        <v>0.00687</v>
      </c>
      <c r="E70" s="33" t="n">
        <f aca="false">(E67*E65+E68*E66)/1000000</f>
        <v>0.00687</v>
      </c>
      <c r="F70" s="9" t="s">
        <v>147</v>
      </c>
      <c r="G70" s="9" t="s">
        <v>168</v>
      </c>
      <c r="H70" s="9" t="s">
        <v>171</v>
      </c>
    </row>
    <row r="71" customFormat="false" ht="42" hidden="false" customHeight="true" outlineLevel="0" collapsed="false">
      <c r="A71" s="9" t="n">
        <v>57</v>
      </c>
      <c r="B71" s="9" t="s">
        <v>172</v>
      </c>
      <c r="C71" s="30" t="n">
        <v>5</v>
      </c>
      <c r="D71" s="31" t="n">
        <f aca="false">C71</f>
        <v>5</v>
      </c>
      <c r="E71" s="31" t="n">
        <f aca="false">C71</f>
        <v>5</v>
      </c>
      <c r="F71" s="9" t="s">
        <v>173</v>
      </c>
      <c r="G71" s="9" t="s">
        <v>174</v>
      </c>
      <c r="H71" s="9" t="s">
        <v>175</v>
      </c>
    </row>
  </sheetData>
  <mergeCells count="1">
    <mergeCell ref="B60:H60"/>
  </mergeCells>
  <dataValidations count="1">
    <dataValidation allowBlank="false" errorStyle="stop" operator="between" showDropDown="false" showErrorMessage="false" showInputMessage="false" sqref="C49" type="list">
      <formula1>"1,2,3"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6"/>
    <col collapsed="false" customWidth="true" hidden="false" outlineLevel="0" max="5" min="3" style="1" width="18"/>
    <col collapsed="false" customWidth="true" hidden="false" outlineLevel="0" max="6" min="6" style="1" width="72"/>
  </cols>
  <sheetData>
    <row r="1" customFormat="false" ht="17.25" hidden="false" customHeight="true" outlineLevel="0" collapsed="false">
      <c r="B1" s="2" t="s">
        <v>176</v>
      </c>
    </row>
    <row r="2" customFormat="false" ht="15" hidden="false" customHeight="true" outlineLevel="0" collapsed="false">
      <c r="B2" s="38" t="s">
        <v>177</v>
      </c>
    </row>
    <row r="4" customFormat="false" ht="15" hidden="false" customHeight="true" outlineLevel="0" collapsed="false">
      <c r="A4" s="5"/>
      <c r="B4" s="5" t="s">
        <v>178</v>
      </c>
      <c r="C4" s="5" t="s">
        <v>4</v>
      </c>
      <c r="D4" s="5" t="s">
        <v>5</v>
      </c>
      <c r="E4" s="5" t="s">
        <v>6</v>
      </c>
      <c r="F4" s="5" t="s">
        <v>179</v>
      </c>
    </row>
    <row r="5" customFormat="false" ht="15" hidden="false" customHeight="true" outlineLevel="0" collapsed="false">
      <c r="B5" s="7" t="s">
        <v>10</v>
      </c>
      <c r="C5" s="6"/>
      <c r="D5" s="6"/>
      <c r="E5" s="6"/>
      <c r="F5" s="6"/>
    </row>
    <row r="6" customFormat="false" ht="27.75" hidden="false" customHeight="true" outlineLevel="0" collapsed="false">
      <c r="B6" s="9" t="s">
        <v>180</v>
      </c>
      <c r="C6" s="39" t="n">
        <f aca="false">Assumptions!C6</f>
        <v>1540</v>
      </c>
      <c r="D6" s="39" t="n">
        <f aca="false">Assumptions!D6</f>
        <v>1540</v>
      </c>
      <c r="E6" s="39" t="n">
        <f aca="false">Assumptions!E6</f>
        <v>1540</v>
      </c>
      <c r="F6" s="9" t="s">
        <v>181</v>
      </c>
    </row>
    <row r="7" customFormat="false" ht="27.75" hidden="false" customHeight="true" outlineLevel="0" collapsed="false">
      <c r="B7" s="9" t="s">
        <v>182</v>
      </c>
      <c r="C7" s="40" t="n">
        <f aca="false">C6*Assumptions!C7</f>
        <v>3080</v>
      </c>
      <c r="D7" s="40" t="n">
        <f aca="false">D6*Assumptions!D7</f>
        <v>4620</v>
      </c>
      <c r="E7" s="40" t="n">
        <f aca="false">E6*Assumptions!E7</f>
        <v>6160</v>
      </c>
      <c r="F7" s="9" t="s">
        <v>183</v>
      </c>
    </row>
    <row r="8" customFormat="false" ht="27.75" hidden="false" customHeight="true" outlineLevel="0" collapsed="false">
      <c r="B8" s="9" t="s">
        <v>184</v>
      </c>
      <c r="C8" s="40" t="n">
        <f aca="false">C7*Assumptions!C9</f>
        <v>1540</v>
      </c>
      <c r="D8" s="40" t="n">
        <f aca="false">D7*Assumptions!D9</f>
        <v>924</v>
      </c>
      <c r="E8" s="40" t="n">
        <f aca="false">E7*Assumptions!E9</f>
        <v>1232</v>
      </c>
      <c r="F8" s="9" t="s">
        <v>185</v>
      </c>
    </row>
    <row r="9" customFormat="false" ht="27.75" hidden="false" customHeight="true" outlineLevel="0" collapsed="false">
      <c r="B9" s="9" t="s">
        <v>186</v>
      </c>
      <c r="C9" s="40" t="n">
        <f aca="false">C7-C8</f>
        <v>1540</v>
      </c>
      <c r="D9" s="40" t="n">
        <f aca="false">D7-D8</f>
        <v>3696</v>
      </c>
      <c r="E9" s="40" t="n">
        <f aca="false">E7-E8</f>
        <v>4928</v>
      </c>
      <c r="F9" s="9" t="s">
        <v>187</v>
      </c>
    </row>
    <row r="10" customFormat="false" ht="27.75" hidden="false" customHeight="true" outlineLevel="0" collapsed="false">
      <c r="B10" s="9" t="s">
        <v>188</v>
      </c>
      <c r="C10" s="39" t="n">
        <f aca="false">Assumptions!C8</f>
        <v>100000</v>
      </c>
      <c r="D10" s="39" t="n">
        <f aca="false">Assumptions!D8</f>
        <v>200000</v>
      </c>
      <c r="E10" s="39" t="n">
        <f aca="false">Assumptions!E8</f>
        <v>300000</v>
      </c>
      <c r="F10" s="9" t="s">
        <v>181</v>
      </c>
    </row>
    <row r="11" customFormat="false" ht="27.75" hidden="false" customHeight="true" outlineLevel="0" collapsed="false">
      <c r="B11" s="41" t="s">
        <v>189</v>
      </c>
      <c r="C11" s="42" t="n">
        <f aca="false">C9*C10</f>
        <v>154000000</v>
      </c>
      <c r="D11" s="42" t="n">
        <f aca="false">D9*D10</f>
        <v>739200000</v>
      </c>
      <c r="E11" s="42" t="n">
        <f aca="false">E9*E10</f>
        <v>1478400000</v>
      </c>
      <c r="F11" s="9" t="s">
        <v>190</v>
      </c>
    </row>
    <row r="12" customFormat="false" ht="15" hidden="false" customHeight="true" outlineLevel="0" collapsed="false">
      <c r="B12" s="7" t="s">
        <v>26</v>
      </c>
      <c r="C12" s="6"/>
      <c r="D12" s="6"/>
      <c r="E12" s="6"/>
      <c r="F12" s="6"/>
    </row>
    <row r="13" customFormat="false" ht="27.75" hidden="false" customHeight="true" outlineLevel="0" collapsed="false">
      <c r="B13" s="9" t="s">
        <v>191</v>
      </c>
      <c r="C13" s="40" t="n">
        <f aca="false">C6*Assumptions!C11</f>
        <v>46.2</v>
      </c>
      <c r="D13" s="40" t="n">
        <f aca="false">D6*Assumptions!D11</f>
        <v>77</v>
      </c>
      <c r="E13" s="40" t="n">
        <f aca="false">E6*Assumptions!E11</f>
        <v>107.8</v>
      </c>
      <c r="F13" s="9" t="s">
        <v>192</v>
      </c>
    </row>
    <row r="14" customFormat="false" ht="27.75" hidden="false" customHeight="true" outlineLevel="0" collapsed="false">
      <c r="B14" s="9" t="s">
        <v>193</v>
      </c>
      <c r="C14" s="40" t="n">
        <f aca="false">C13*Assumptions!C14</f>
        <v>1256640000</v>
      </c>
      <c r="D14" s="40" t="n">
        <f aca="false">D13*Assumptions!D14</f>
        <v>2094400000</v>
      </c>
      <c r="E14" s="40" t="n">
        <f aca="false">E13*Assumptions!E14</f>
        <v>2932160000</v>
      </c>
      <c r="F14" s="9" t="s">
        <v>194</v>
      </c>
    </row>
    <row r="15" customFormat="false" ht="27.75" hidden="false" customHeight="true" outlineLevel="0" collapsed="false">
      <c r="B15" s="9" t="s">
        <v>195</v>
      </c>
      <c r="C15" s="40" t="str">
        <f aca="false">IF(OR(Assumptions!C15="",Assumptions!C17=""),"not entered",C13*MAX(Assumptions!C15-Assumptions!C17,0))</f>
        <v>not entered</v>
      </c>
      <c r="D15" s="40" t="str">
        <f aca="false">IF(OR(Assumptions!D15="",Assumptions!D17=""),"not entered",D13*MAX(Assumptions!D15-Assumptions!D17,0))</f>
        <v>not entered</v>
      </c>
      <c r="E15" s="40" t="str">
        <f aca="false">IF(OR(Assumptions!E15="",Assumptions!E17=""),"not entered",E13*MAX(Assumptions!E15-Assumptions!E17,0))</f>
        <v>not entered</v>
      </c>
      <c r="F15" s="9" t="s">
        <v>196</v>
      </c>
    </row>
    <row r="16" customFormat="false" ht="27.75" hidden="false" customHeight="true" outlineLevel="0" collapsed="false">
      <c r="B16" s="41" t="s">
        <v>197</v>
      </c>
      <c r="C16" s="42" t="str">
        <f aca="false">IF(C15="not entered","not entered",C15*Assumptions!C14*Assumptions!C16)</f>
        <v>not entered</v>
      </c>
      <c r="D16" s="42" t="str">
        <f aca="false">IF(D15="not entered","not entered",D15*Assumptions!D14*Assumptions!D16)</f>
        <v>not entered</v>
      </c>
      <c r="E16" s="42" t="str">
        <f aca="false">IF(E15="not entered","not entered",E15*Assumptions!E14*Assumptions!E16)</f>
        <v>not entered</v>
      </c>
      <c r="F16" s="9" t="s">
        <v>198</v>
      </c>
    </row>
    <row r="17" customFormat="false" ht="27.75" hidden="false" customHeight="true" outlineLevel="0" collapsed="false">
      <c r="B17" s="9" t="s">
        <v>199</v>
      </c>
      <c r="C17" s="43" t="str">
        <f aca="false">IF(Assumptions!C17="","baseline needed","")</f>
        <v>baseline needed</v>
      </c>
      <c r="D17" s="43" t="str">
        <f aca="false">IF(Assumptions!D17="","baseline needed","")</f>
        <v>baseline needed</v>
      </c>
      <c r="E17" s="43" t="str">
        <f aca="false">IF(Assumptions!E17="","baseline needed","")</f>
        <v>baseline needed</v>
      </c>
      <c r="F17" s="9" t="s">
        <v>200</v>
      </c>
    </row>
    <row r="18" customFormat="false" ht="15" hidden="false" customHeight="true" outlineLevel="0" collapsed="false">
      <c r="B18" s="7" t="s">
        <v>201</v>
      </c>
      <c r="C18" s="6"/>
      <c r="D18" s="6"/>
      <c r="E18" s="6"/>
      <c r="F18" s="6"/>
    </row>
    <row r="19" customFormat="false" ht="27.75" hidden="false" customHeight="true" outlineLevel="0" collapsed="false">
      <c r="B19" s="9" t="s">
        <v>202</v>
      </c>
      <c r="C19" s="39" t="n">
        <f aca="false">Infra!C19</f>
        <v>142000000</v>
      </c>
      <c r="D19" s="39" t="n">
        <f aca="false">Infra!D19</f>
        <v>118500000</v>
      </c>
      <c r="E19" s="39" t="n">
        <f aca="false">Infra!E19</f>
        <v>95000000</v>
      </c>
      <c r="F19" s="9" t="s">
        <v>203</v>
      </c>
    </row>
    <row r="20" customFormat="false" ht="27.75" hidden="false" customHeight="true" outlineLevel="0" collapsed="false">
      <c r="B20" s="9" t="s">
        <v>204</v>
      </c>
      <c r="C20" s="40" t="n">
        <f aca="false">IF(COUNT(Assumptions!C23,Assumptions!C24,Assumptions!C25)&lt;3,"not entered",Assumptions!C20*Assumptions!C23+Assumptions!C21*Assumptions!C24+Assumptions!C22*Assumptions!C25)</f>
        <v>84800000</v>
      </c>
      <c r="D20" s="40" t="n">
        <f aca="false">IF(COUNT(Assumptions!D23,Assumptions!D24,Assumptions!D25)&lt;3,"not entered",Assumptions!D20*Assumptions!D23+Assumptions!D21*Assumptions!D24+Assumptions!D22*Assumptions!D25)</f>
        <v>56600000</v>
      </c>
      <c r="E20" s="40" t="n">
        <f aca="false">IF(COUNT(Assumptions!E23,Assumptions!E24,Assumptions!E25)&lt;3,"not entered",Assumptions!E20*Assumptions!E23+Assumptions!E21*Assumptions!E24+Assumptions!E22*Assumptions!E25)</f>
        <v>37800000</v>
      </c>
      <c r="F20" s="9" t="s">
        <v>205</v>
      </c>
    </row>
    <row r="21" customFormat="false" ht="27.75" hidden="false" customHeight="true" outlineLevel="0" collapsed="false">
      <c r="B21" s="41" t="s">
        <v>206</v>
      </c>
      <c r="C21" s="42" t="n">
        <f aca="false">IF(C20="not entered","not entered",C19+C20)</f>
        <v>226800000</v>
      </c>
      <c r="D21" s="42" t="n">
        <f aca="false">IF(D20="not entered","not entered",D19+D20)</f>
        <v>175100000</v>
      </c>
      <c r="E21" s="42" t="n">
        <f aca="false">IF(E20="not entered","not entered",E19+E20)</f>
        <v>132800000</v>
      </c>
      <c r="F21" s="9" t="s">
        <v>207</v>
      </c>
    </row>
    <row r="22" customFormat="false" ht="27.75" hidden="false" customHeight="true" outlineLevel="0" collapsed="false">
      <c r="B22" s="9" t="s">
        <v>208</v>
      </c>
      <c r="C22" s="40" t="n">
        <f aca="false">Assumptions!C27+Assumptions!C28+Infra!C20</f>
        <v>72600000</v>
      </c>
      <c r="D22" s="40" t="n">
        <f aca="false">Assumptions!D27+Assumptions!D28+Infra!D20</f>
        <v>70100000</v>
      </c>
      <c r="E22" s="40" t="n">
        <f aca="false">Assumptions!E27+Assumptions!E28+Infra!E20</f>
        <v>67600000</v>
      </c>
      <c r="F22" s="9" t="s">
        <v>209</v>
      </c>
    </row>
    <row r="23" customFormat="false" ht="27.75" hidden="false" customHeight="true" outlineLevel="0" collapsed="false">
      <c r="B23" s="9" t="s">
        <v>210</v>
      </c>
      <c r="C23" s="40" t="n">
        <f aca="false">C6*Assumptions!C31</f>
        <v>3080</v>
      </c>
      <c r="D23" s="40" t="n">
        <f aca="false">D6*Assumptions!D31</f>
        <v>4620</v>
      </c>
      <c r="E23" s="40" t="n">
        <f aca="false">E6*Assumptions!E31</f>
        <v>6160</v>
      </c>
      <c r="F23" s="9" t="s">
        <v>211</v>
      </c>
    </row>
    <row r="24" customFormat="false" ht="27.75" hidden="false" customHeight="true" outlineLevel="0" collapsed="false">
      <c r="B24" s="9" t="s">
        <v>212</v>
      </c>
      <c r="C24" s="39" t="n">
        <f aca="false">Infra!C46</f>
        <v>0</v>
      </c>
      <c r="D24" s="39" t="n">
        <f aca="false">Infra!D46</f>
        <v>0</v>
      </c>
      <c r="E24" s="39" t="n">
        <f aca="false">Infra!E46</f>
        <v>0</v>
      </c>
      <c r="F24" s="9" t="s">
        <v>213</v>
      </c>
    </row>
    <row r="25" customFormat="false" ht="27.75" hidden="false" customHeight="true" outlineLevel="0" collapsed="false">
      <c r="B25" s="41" t="s">
        <v>214</v>
      </c>
      <c r="C25" s="42" t="n">
        <f aca="false">C22+C24</f>
        <v>72600000</v>
      </c>
      <c r="D25" s="42" t="n">
        <f aca="false">D22+D24</f>
        <v>70100000</v>
      </c>
      <c r="E25" s="42" t="n">
        <f aca="false">E22+E24</f>
        <v>67600000</v>
      </c>
      <c r="F25" s="9"/>
    </row>
    <row r="26" customFormat="false" ht="15" hidden="false" customHeight="true" outlineLevel="0" collapsed="false">
      <c r="B26" s="7" t="s">
        <v>215</v>
      </c>
      <c r="C26" s="6"/>
      <c r="D26" s="6"/>
      <c r="E26" s="6"/>
      <c r="F26" s="6"/>
    </row>
    <row r="27" customFormat="false" ht="27.75" hidden="false" customHeight="true" outlineLevel="0" collapsed="false">
      <c r="B27" s="41" t="s">
        <v>216</v>
      </c>
      <c r="C27" s="42" t="n">
        <f aca="false">IF(C23=0,"not entered",C25/C23)</f>
        <v>23571.4285714286</v>
      </c>
      <c r="D27" s="42" t="n">
        <f aca="false">IF(D23=0,"not entered",D25/D23)</f>
        <v>15173.1601731602</v>
      </c>
      <c r="E27" s="42" t="n">
        <f aca="false">IF(E23=0,"not entered",E25/E23)</f>
        <v>10974.025974026</v>
      </c>
      <c r="F27" s="9" t="s">
        <v>217</v>
      </c>
    </row>
    <row r="28" customFormat="false" ht="27.75" hidden="false" customHeight="true" outlineLevel="0" collapsed="false">
      <c r="B28" s="9" t="s">
        <v>218</v>
      </c>
      <c r="C28" s="40" t="n">
        <f aca="false">C10</f>
        <v>100000</v>
      </c>
      <c r="D28" s="40" t="n">
        <f aca="false">D10</f>
        <v>200000</v>
      </c>
      <c r="E28" s="40" t="n">
        <f aca="false">E10</f>
        <v>300000</v>
      </c>
      <c r="F28" s="9" t="s">
        <v>219</v>
      </c>
    </row>
    <row r="29" customFormat="false" ht="15" hidden="false" customHeight="true" outlineLevel="0" collapsed="false">
      <c r="B29" s="7" t="s">
        <v>220</v>
      </c>
      <c r="C29" s="6"/>
      <c r="D29" s="6"/>
      <c r="E29" s="6"/>
      <c r="F29" s="6"/>
    </row>
    <row r="30" customFormat="false" ht="27.75" hidden="false" customHeight="true" outlineLevel="0" collapsed="false">
      <c r="B30" s="41" t="s">
        <v>221</v>
      </c>
      <c r="C30" s="42" t="n">
        <f aca="false">C11-C25</f>
        <v>81400000</v>
      </c>
      <c r="D30" s="42" t="n">
        <f aca="false">D11-D25</f>
        <v>669100000</v>
      </c>
      <c r="E30" s="42" t="n">
        <f aca="false">E11-E25</f>
        <v>1410800000</v>
      </c>
      <c r="F30" s="9" t="s">
        <v>222</v>
      </c>
    </row>
    <row r="31" customFormat="false" ht="27.75" hidden="false" customHeight="true" outlineLevel="0" collapsed="false">
      <c r="B31" s="9" t="s">
        <v>223</v>
      </c>
      <c r="C31" s="40" t="str">
        <f aca="false">IF(C16="not entered","not entered",C30+C16)</f>
        <v>not entered</v>
      </c>
      <c r="D31" s="40" t="str">
        <f aca="false">IF(D16="not entered","not entered",D30+D16)</f>
        <v>not entered</v>
      </c>
      <c r="E31" s="40" t="str">
        <f aca="false">IF(E16="not entered","not entered",E30+E16)</f>
        <v>not entered</v>
      </c>
      <c r="F31" s="9" t="s">
        <v>224</v>
      </c>
    </row>
    <row r="32" customFormat="false" ht="27.75" hidden="false" customHeight="true" outlineLevel="0" collapsed="false">
      <c r="B32" s="41" t="s">
        <v>225</v>
      </c>
      <c r="C32" s="44" t="n">
        <f aca="false">IF(C21="not entered","not entered",IF(C30&lt;=0,"no payback",C21/(C30/12)))</f>
        <v>33.4348894348894</v>
      </c>
      <c r="D32" s="44" t="n">
        <f aca="false">IF(D21="not entered","not entered",IF(D30&lt;=0,"no payback",D21/(D30/12)))</f>
        <v>3.1403377671499</v>
      </c>
      <c r="E32" s="44" t="n">
        <f aca="false">IF(E21="not entered","not entered",IF(E30&lt;=0,"no payback",E21/(E30/12)))</f>
        <v>1.12957187411398</v>
      </c>
      <c r="F32" s="9" t="s">
        <v>226</v>
      </c>
    </row>
    <row r="33" customFormat="false" ht="27.75" hidden="false" customHeight="true" outlineLevel="0" collapsed="false">
      <c r="B33" s="41" t="s">
        <v>227</v>
      </c>
      <c r="C33" s="44" t="str">
        <f aca="false">IF(OR(C21="not entered",C31="not entered"),"not entered",IF(C31&lt;=0,"no payback",C21/(C31/12)))</f>
        <v>not entered</v>
      </c>
      <c r="D33" s="44" t="str">
        <f aca="false">IF(OR(D21="not entered",D31="not entered"),"not entered",IF(D31&lt;=0,"no payback",D21/(D31/12)))</f>
        <v>not entered</v>
      </c>
      <c r="E33" s="44" t="str">
        <f aca="false">IF(OR(E21="not entered",E31="not entered"),"not entered",IF(E31&lt;=0,"no payback",E21/(E31/12)))</f>
        <v>not entered</v>
      </c>
      <c r="F33" s="9" t="s">
        <v>226</v>
      </c>
    </row>
    <row r="35" customFormat="false" ht="15" hidden="false" customHeight="true" outlineLevel="0" collapsed="false">
      <c r="B35" s="45" t="s">
        <v>228</v>
      </c>
      <c r="C35" s="6"/>
      <c r="D35" s="6"/>
      <c r="E35" s="6"/>
      <c r="F35" s="6"/>
    </row>
    <row r="36" customFormat="false" ht="30" hidden="false" customHeight="true" outlineLevel="0" collapsed="false">
      <c r="B36" s="9" t="s">
        <v>229</v>
      </c>
      <c r="C36" s="46" t="n">
        <f aca="false">Infra!C8</f>
        <v>0.0425998708343333</v>
      </c>
      <c r="D36" s="46" t="n">
        <f aca="false">Infra!D8</f>
        <v>0.0425998708343333</v>
      </c>
      <c r="E36" s="46" t="n">
        <f aca="false">Infra!E8</f>
        <v>0.0425998708343333</v>
      </c>
      <c r="F36" s="9" t="s">
        <v>230</v>
      </c>
    </row>
    <row r="37" customFormat="false" ht="30" hidden="false" customHeight="true" outlineLevel="0" collapsed="false">
      <c r="B37" s="9" t="s">
        <v>231</v>
      </c>
      <c r="C37" s="47" t="n">
        <f aca="false">IF(ISNUMBER(C27),C36/C27,"not entered")</f>
        <v>1.80726724751717E-006</v>
      </c>
      <c r="D37" s="47" t="n">
        <f aca="false">IF(ISNUMBER(D27),D36/D27,"not entered")</f>
        <v>2.80758064557232E-006</v>
      </c>
      <c r="E37" s="47" t="n">
        <f aca="false">IF(ISNUMBER(E27),E36/E27,"not entered")</f>
        <v>3.88188172099842E-006</v>
      </c>
      <c r="F37" s="9" t="s">
        <v>232</v>
      </c>
    </row>
    <row r="38" customFormat="false" ht="30" hidden="false" customHeight="true" outlineLevel="0" collapsed="false">
      <c r="B38" s="9" t="s">
        <v>233</v>
      </c>
      <c r="C38" s="48" t="n">
        <f aca="false">IF(ISNUMBER(C27),C10/C27,"not entered")</f>
        <v>4.24242424242424</v>
      </c>
      <c r="D38" s="48" t="n">
        <f aca="false">IF(ISNUMBER(D27),D10/D27,"not entered")</f>
        <v>13.1811697574893</v>
      </c>
      <c r="E38" s="48" t="n">
        <f aca="false">IF(ISNUMBER(E27),E10/E27,"not entered")</f>
        <v>27.3372781065089</v>
      </c>
      <c r="F38" s="9" t="s">
        <v>234</v>
      </c>
    </row>
    <row r="39" customFormat="false" ht="30" hidden="false" customHeight="true" outlineLevel="0" collapsed="false">
      <c r="B39" s="45" t="s">
        <v>235</v>
      </c>
      <c r="C39" s="6"/>
      <c r="D39" s="6"/>
      <c r="E39" s="6"/>
      <c r="F39" s="6"/>
    </row>
    <row r="40" customFormat="false" ht="30" hidden="false" customHeight="true" outlineLevel="0" collapsed="false">
      <c r="B40" s="9" t="s">
        <v>236</v>
      </c>
      <c r="C40" s="49" t="n">
        <f aca="false">IF(C9=0,"n/a",C25/C9)</f>
        <v>47142.8571428571</v>
      </c>
      <c r="D40" s="49" t="n">
        <f aca="false">IF(D9=0,"n/a",D25/D9)</f>
        <v>18966.4502164502</v>
      </c>
      <c r="E40" s="49" t="n">
        <f aca="false">IF(E9=0,"n/a",E25/E9)</f>
        <v>13717.5324675325</v>
      </c>
      <c r="F40" s="9" t="s">
        <v>237</v>
      </c>
    </row>
    <row r="41" customFormat="false" ht="30" hidden="false" customHeight="true" outlineLevel="0" collapsed="false">
      <c r="B41" s="9" t="s">
        <v>238</v>
      </c>
      <c r="C41" s="49" t="n">
        <f aca="false">IF(C10=0,"n/a",C25/C10)</f>
        <v>726</v>
      </c>
      <c r="D41" s="49" t="n">
        <f aca="false">IF(D10=0,"n/a",D25/D10)</f>
        <v>350.5</v>
      </c>
      <c r="E41" s="49" t="n">
        <f aca="false">IF(E10=0,"n/a",E25/E10)</f>
        <v>225.333333333333</v>
      </c>
      <c r="F41" s="9" t="s">
        <v>239</v>
      </c>
    </row>
    <row r="42" customFormat="false" ht="30" hidden="false" customHeight="true" outlineLevel="0" collapsed="false">
      <c r="B42" s="9" t="s">
        <v>240</v>
      </c>
      <c r="C42" s="48" t="n">
        <f aca="false">IF(ISNUMBER(C40),C10/C40,"n/a")</f>
        <v>2.12121212121212</v>
      </c>
      <c r="D42" s="48" t="n">
        <f aca="false">IF(ISNUMBER(D40),D10/D40,"n/a")</f>
        <v>10.5449358059914</v>
      </c>
      <c r="E42" s="48" t="n">
        <f aca="false">IF(ISNUMBER(E40),E10/E40,"n/a")</f>
        <v>21.8698224852071</v>
      </c>
      <c r="F42" s="9" t="s">
        <v>241</v>
      </c>
    </row>
    <row r="43" customFormat="false" ht="30" hidden="false" customHeight="true" outlineLevel="0" collapsed="false">
      <c r="B43" s="41" t="s">
        <v>242</v>
      </c>
      <c r="C43" s="50" t="n">
        <f aca="false">C30-C19</f>
        <v>-60600000</v>
      </c>
      <c r="D43" s="50" t="n">
        <f aca="false">D30-D19</f>
        <v>550600000</v>
      </c>
      <c r="E43" s="50" t="n">
        <f aca="false">E30-E19</f>
        <v>1315800000</v>
      </c>
      <c r="F43" s="9" t="s">
        <v>243</v>
      </c>
    </row>
    <row r="44" customFormat="false" ht="30" hidden="false" customHeight="true" outlineLevel="0" collapsed="false">
      <c r="B44" s="9" t="s">
        <v>244</v>
      </c>
      <c r="C44" s="49" t="n">
        <f aca="false">IF(C43&lt;=0,0,C43/AVERAGE(Assumptions!C20:C22))</f>
        <v>0</v>
      </c>
      <c r="D44" s="49" t="n">
        <f aca="false">IF(D43&lt;=0,0,D43/AVERAGE(Assumptions!D20:D22))</f>
        <v>7181.73913043478</v>
      </c>
      <c r="E44" s="49" t="n">
        <f aca="false">IF(E43&lt;=0,0,E43/AVERAGE(Assumptions!E20:E22))</f>
        <v>17162.6086956522</v>
      </c>
      <c r="F44" s="9" t="s">
        <v>245</v>
      </c>
    </row>
    <row r="45" customFormat="false" ht="30" hidden="false" customHeight="true" outlineLevel="0" collapsed="false">
      <c r="B45" s="41" t="s">
        <v>246</v>
      </c>
      <c r="C45" s="51" t="n">
        <f aca="false">IF(C30&lt;=0,"no payback",C19/(C30/12))</f>
        <v>20.9336609336609</v>
      </c>
      <c r="D45" s="51" t="n">
        <f aca="false">IF(D30&lt;=0,"no payback",D19/(D30/12))</f>
        <v>2.12524286354805</v>
      </c>
      <c r="E45" s="51" t="n">
        <f aca="false">IF(E30&lt;=0,"no payback",E19/(E30/12))</f>
        <v>0.808052168982138</v>
      </c>
      <c r="F45" s="9" t="s">
        <v>247</v>
      </c>
    </row>
    <row r="46" customFormat="false" ht="30" hidden="false" customHeight="true" outlineLevel="0" collapsed="false">
      <c r="B46" s="45" t="s">
        <v>248</v>
      </c>
      <c r="C46" s="6"/>
      <c r="D46" s="6"/>
      <c r="E46" s="6"/>
      <c r="F46" s="6"/>
    </row>
    <row r="47" customFormat="false" ht="30" hidden="false" customHeight="true" outlineLevel="0" collapsed="false">
      <c r="B47" s="9" t="s">
        <v>249</v>
      </c>
      <c r="C47" s="52" t="n">
        <f aca="false">Assumptions!$D$35</f>
        <v>0.274</v>
      </c>
      <c r="D47" s="52" t="n">
        <f aca="false">Assumptions!$D$35</f>
        <v>0.274</v>
      </c>
      <c r="E47" s="52" t="n">
        <f aca="false">Assumptions!$D$35</f>
        <v>0.274</v>
      </c>
      <c r="F47" s="9" t="s">
        <v>250</v>
      </c>
    </row>
    <row r="48" customFormat="false" ht="30" hidden="false" customHeight="true" outlineLevel="0" collapsed="false">
      <c r="B48" s="9" t="s">
        <v>251</v>
      </c>
      <c r="C48" s="52" t="n">
        <f aca="false">Assumptions!$D$36</f>
        <v>0.2</v>
      </c>
      <c r="D48" s="52" t="n">
        <f aca="false">Assumptions!$D$36</f>
        <v>0.2</v>
      </c>
      <c r="E48" s="52" t="n">
        <f aca="false">Assumptions!$D$36</f>
        <v>0.2</v>
      </c>
      <c r="F48" s="9" t="s">
        <v>252</v>
      </c>
    </row>
    <row r="49" customFormat="false" ht="30" hidden="false" customHeight="true" outlineLevel="0" collapsed="false">
      <c r="B49" s="9" t="s">
        <v>253</v>
      </c>
      <c r="C49" s="49" t="n">
        <f aca="false">C13*Assumptions!C15*Assumptions!C14*Assumptions!C16</f>
        <v>914833920</v>
      </c>
      <c r="D49" s="49" t="n">
        <f aca="false">D13*Assumptions!D15*Assumptions!D14*Assumptions!D16</f>
        <v>1637820800</v>
      </c>
      <c r="E49" s="49" t="n">
        <f aca="false">E13*Assumptions!E15*Assumptions!E14*Assumptions!E16</f>
        <v>2439557120</v>
      </c>
      <c r="F49" s="9" t="s">
        <v>254</v>
      </c>
    </row>
    <row r="50" customFormat="false" ht="30" hidden="false" customHeight="true" outlineLevel="0" collapsed="false">
      <c r="B50" s="9" t="s">
        <v>255</v>
      </c>
      <c r="C50" s="53" t="n">
        <f aca="false">C13*MAX(Assumptions!C15-C47,0)</f>
        <v>20.9748</v>
      </c>
      <c r="D50" s="53" t="n">
        <f aca="false">D13*MAX(Assumptions!D15-D47,0)</f>
        <v>39.116</v>
      </c>
      <c r="E50" s="53" t="n">
        <f aca="false">E13*MAX(Assumptions!E15-E47,0)</f>
        <v>60.1524</v>
      </c>
      <c r="F50" s="9" t="s">
        <v>256</v>
      </c>
    </row>
    <row r="51" customFormat="false" ht="30" hidden="false" customHeight="true" outlineLevel="0" collapsed="false">
      <c r="B51" s="41" t="s">
        <v>257</v>
      </c>
      <c r="C51" s="50" t="n">
        <f aca="false">C50*Assumptions!C14*Assumptions!C16</f>
        <v>570514560</v>
      </c>
      <c r="D51" s="50" t="n">
        <f aca="false">D50*Assumptions!D14*Assumptions!D16</f>
        <v>1063955200</v>
      </c>
      <c r="E51" s="50" t="n">
        <f aca="false">E50*Assumptions!E14*Assumptions!E16</f>
        <v>1636145280</v>
      </c>
      <c r="F51" s="9" t="s">
        <v>258</v>
      </c>
    </row>
    <row r="52" customFormat="false" ht="30" hidden="false" customHeight="true" outlineLevel="0" collapsed="false">
      <c r="B52" s="9" t="s">
        <v>259</v>
      </c>
      <c r="C52" s="53" t="n">
        <f aca="false">C13*MAX(Assumptions!C15-C48,0)</f>
        <v>24.3936</v>
      </c>
      <c r="D52" s="53" t="n">
        <f aca="false">D13*MAX(Assumptions!D15-D48,0)</f>
        <v>44.814</v>
      </c>
      <c r="E52" s="53" t="n">
        <f aca="false">E13*MAX(Assumptions!E15-E48,0)</f>
        <v>68.1296</v>
      </c>
      <c r="F52" s="9" t="s">
        <v>260</v>
      </c>
    </row>
    <row r="53" customFormat="false" ht="30" hidden="false" customHeight="true" outlineLevel="0" collapsed="false">
      <c r="B53" s="9" t="s">
        <v>261</v>
      </c>
      <c r="C53" s="49" t="n">
        <f aca="false">C52*Assumptions!C14*Assumptions!C16</f>
        <v>663505920</v>
      </c>
      <c r="D53" s="49" t="n">
        <f aca="false">D52*Assumptions!D14*Assumptions!D16</f>
        <v>1218940800</v>
      </c>
      <c r="E53" s="49" t="n">
        <f aca="false">E52*Assumptions!E14*Assumptions!E16</f>
        <v>1853125120</v>
      </c>
      <c r="F53" s="9" t="s">
        <v>262</v>
      </c>
    </row>
    <row r="54" customFormat="false" ht="30" hidden="false" customHeight="true" outlineLevel="0" collapsed="false">
      <c r="B54" s="9" t="s">
        <v>263</v>
      </c>
      <c r="C54" s="53" t="n">
        <f aca="false">C13*(1-Assumptions!C15)</f>
        <v>12.5664</v>
      </c>
      <c r="D54" s="53" t="n">
        <f aca="false">D13*(1-Assumptions!D15)</f>
        <v>16.786</v>
      </c>
      <c r="E54" s="53" t="n">
        <f aca="false">E13*(1-Assumptions!E15)</f>
        <v>18.1104</v>
      </c>
      <c r="F54" s="9" t="s">
        <v>264</v>
      </c>
    </row>
    <row r="55" customFormat="false" ht="30" hidden="false" customHeight="true" outlineLevel="0" collapsed="false">
      <c r="B55" s="9" t="s">
        <v>265</v>
      </c>
      <c r="C55" s="49" t="n">
        <f aca="false">C54*Assumptions!C14</f>
        <v>341806080</v>
      </c>
      <c r="D55" s="49" t="n">
        <f aca="false">D54*Assumptions!D14</f>
        <v>456579200</v>
      </c>
      <c r="E55" s="49" t="n">
        <f aca="false">E54*Assumptions!E14</f>
        <v>492602880</v>
      </c>
      <c r="F55" s="9" t="s">
        <v>266</v>
      </c>
    </row>
    <row r="56" customFormat="false" ht="42" hidden="false" customHeight="true" outlineLevel="0" collapsed="false">
      <c r="B56" s="9" t="s">
        <v>267</v>
      </c>
      <c r="C56" s="54" t="n">
        <f aca="false">IFERROR(C25/(Assumptions!C6*Assumptions!C14*MAX(Assumptions!C15-C47,0)*Assumptions!C16),"n/a")</f>
        <v>0.00381760633768926</v>
      </c>
      <c r="D56" s="54" t="n">
        <f aca="false">IFERROR(D25/(Assumptions!D6*Assumptions!D14*MAX(Assumptions!D15-D47,0)*Assumptions!D16),"n/a")</f>
        <v>0.00329431164018936</v>
      </c>
      <c r="E56" s="54" t="n">
        <f aca="false">IFERROR(E25/(Assumptions!E6*Assumptions!E14*MAX(Assumptions!E15-E47,0)*Assumptions!E16),"n/a")</f>
        <v>0.00289216370810299</v>
      </c>
      <c r="F56" s="9" t="s">
        <v>268</v>
      </c>
    </row>
    <row r="57" customFormat="false" ht="42" hidden="false" customHeight="true" outlineLevel="0" collapsed="false">
      <c r="B57" s="9" t="s">
        <v>269</v>
      </c>
      <c r="C57" s="55" t="n">
        <f aca="false">IFERROR(C25/(C13*Assumptions!C14*MAX(Assumptions!C15-C47,0)),"n/a")</f>
        <v>0.127253544589642</v>
      </c>
      <c r="D57" s="55" t="n">
        <f aca="false">IFERROR(D25/(D13*Assumptions!D14*MAX(Assumptions!D15-D47,0)),"n/a")</f>
        <v>0.0658862328037872</v>
      </c>
      <c r="E57" s="55" t="n">
        <f aca="false">IFERROR(E25/(E13*Assumptions!E14*MAX(Assumptions!E15-E47,0)),"n/a")</f>
        <v>0.0413166244014712</v>
      </c>
      <c r="F57" s="9" t="s">
        <v>270</v>
      </c>
    </row>
    <row r="58" customFormat="false" ht="30" hidden="false" customHeight="true" outlineLevel="0" collapsed="false">
      <c r="B58" s="9" t="s">
        <v>271</v>
      </c>
      <c r="C58" s="56" t="str">
        <f aca="false">IF(Assumptions!C17="","",IF(Assumptions!C15&lt;Assumptions!C17,"Maqsad catches fewer cases than today's method",""))</f>
        <v/>
      </c>
      <c r="D58" s="56" t="str">
        <f aca="false">IF(Assumptions!D17="","",IF(Assumptions!D15&lt;Assumptions!D17,"Maqsad catches fewer cases than today's method",""))</f>
        <v/>
      </c>
      <c r="E58" s="56" t="str">
        <f aca="false">IF(Assumptions!E17="","",IF(Assumptions!E15&lt;Assumptions!E17,"Maqsad catches fewer cases than today's method",""))</f>
        <v/>
      </c>
      <c r="F58" s="9" t="s">
        <v>272</v>
      </c>
    </row>
    <row r="59" customFormat="false" ht="31.5" hidden="false" customHeight="true" outlineLevel="0" collapsed="false">
      <c r="B59" s="57" t="s">
        <v>273</v>
      </c>
      <c r="C59" s="57"/>
      <c r="D59" s="57"/>
      <c r="E59" s="57"/>
      <c r="F59" s="57"/>
    </row>
    <row r="61" customFormat="false" ht="15" hidden="false" customHeight="true" outlineLevel="0" collapsed="false">
      <c r="B61" s="7" t="s">
        <v>274</v>
      </c>
      <c r="C61" s="35"/>
      <c r="D61" s="35"/>
      <c r="E61" s="35"/>
      <c r="F61" s="35"/>
    </row>
    <row r="62" customFormat="false" ht="31.5" hidden="false" customHeight="true" outlineLevel="0" collapsed="false">
      <c r="B62" s="9" t="s">
        <v>275</v>
      </c>
      <c r="C62" s="49" t="n">
        <f aca="false">IF(COUNT(Assumptions!C23,Assumptions!C24)&lt;2,"not entered",Assumptions!C20*Assumptions!C23+Assumptions!C21*Assumptions!C24)</f>
        <v>70400000</v>
      </c>
      <c r="D62" s="49" t="n">
        <f aca="false">IF(COUNT(Assumptions!D23,Assumptions!D24)&lt;2,"not entered",Assumptions!D20*Assumptions!D23+Assumptions!D21*Assumptions!D24)</f>
        <v>47000000</v>
      </c>
      <c r="E62" s="49" t="n">
        <f aca="false">IF(COUNT(Assumptions!E23,Assumptions!E24)&lt;2,"not entered",Assumptions!E20*Assumptions!E23+Assumptions!E21*Assumptions!E24)</f>
        <v>31800000</v>
      </c>
      <c r="F62" s="9" t="s">
        <v>276</v>
      </c>
    </row>
    <row r="63" customFormat="false" ht="31.5" hidden="false" customHeight="true" outlineLevel="0" collapsed="false">
      <c r="B63" s="9" t="s">
        <v>277</v>
      </c>
      <c r="C63" s="49" t="n">
        <f aca="false">IF(ISNUMBER(C62),C19+C62,"not entered")</f>
        <v>212400000</v>
      </c>
      <c r="D63" s="49" t="n">
        <f aca="false">IF(ISNUMBER(D62),D19+D62,"not entered")</f>
        <v>165500000</v>
      </c>
      <c r="E63" s="49" t="n">
        <f aca="false">IF(ISNUMBER(E62),E19+E62,"not entered")</f>
        <v>126800000</v>
      </c>
      <c r="F63" s="9" t="s">
        <v>278</v>
      </c>
    </row>
    <row r="64" customFormat="false" ht="31.5" hidden="false" customHeight="true" outlineLevel="0" collapsed="false">
      <c r="B64" s="41" t="s">
        <v>279</v>
      </c>
      <c r="C64" s="51" t="n">
        <f aca="false">IF(NOT(ISNUMBER(C63)),"not entered",IF(C30&lt;=0,"no payback",C63/(C30/12)))</f>
        <v>31.3120393120393</v>
      </c>
      <c r="D64" s="51" t="n">
        <f aca="false">IF(NOT(ISNUMBER(D63)),"not entered",IF(D30&lt;=0,"no payback",D63/(D30/12)))</f>
        <v>2.96816619339411</v>
      </c>
      <c r="E64" s="51" t="n">
        <f aca="false">IF(NOT(ISNUMBER(E63)),"not entered",IF(E30&lt;=0,"no payback",E63/(E30/12)))</f>
        <v>1.07853700028353</v>
      </c>
      <c r="F64" s="9" t="s">
        <v>280</v>
      </c>
    </row>
    <row r="65" customFormat="false" ht="31.5" hidden="false" customHeight="true" outlineLevel="0" collapsed="false">
      <c r="B65" s="9" t="s">
        <v>281</v>
      </c>
      <c r="C65" s="49" t="n">
        <f aca="false">Assumptions!C23+Assumptions!C24</f>
        <v>840</v>
      </c>
      <c r="D65" s="49" t="n">
        <f aca="false">Assumptions!D23+Assumptions!D24</f>
        <v>560</v>
      </c>
      <c r="E65" s="49" t="n">
        <f aca="false">Assumptions!E23+Assumptions!E24</f>
        <v>380</v>
      </c>
      <c r="F65" s="9" t="s">
        <v>282</v>
      </c>
    </row>
    <row r="66" customFormat="false" ht="57.75" hidden="false" customHeight="true" outlineLevel="0" collapsed="false">
      <c r="B66" s="9" t="s">
        <v>283</v>
      </c>
      <c r="C66" s="58" t="n">
        <f aca="false">IF(ISNUMBER(C21),1-(C25+C21)/(C7*C10),"not entered")</f>
        <v>0.0279220779220779</v>
      </c>
      <c r="D66" s="58" t="n">
        <f aca="false">IF(ISNUMBER(D21),1-(D25+D21)/(D7*D10),"not entered")</f>
        <v>0.734632034632035</v>
      </c>
      <c r="E66" s="58" t="n">
        <f aca="false">IF(ISNUMBER(E21),1-(E25+E21)/(E7*E10),"not entered")</f>
        <v>0.891558441558442</v>
      </c>
      <c r="F66" s="9" t="s">
        <v>284</v>
      </c>
    </row>
  </sheetData>
  <mergeCells count="1">
    <mergeCell ref="B59:F5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6"/>
    <col collapsed="false" customWidth="true" hidden="false" outlineLevel="0" max="5" min="3" style="1" width="18"/>
    <col collapsed="false" customWidth="true" hidden="false" outlineLevel="0" max="6" min="6" style="1" width="72"/>
  </cols>
  <sheetData>
    <row r="1" customFormat="false" ht="32.25" hidden="false" customHeight="true" outlineLevel="0" collapsed="false">
      <c r="B1" s="59" t="s">
        <v>285</v>
      </c>
    </row>
    <row r="2" customFormat="false" ht="30" hidden="false" customHeight="true" outlineLevel="0" collapsed="false">
      <c r="B2" s="57" t="s">
        <v>286</v>
      </c>
      <c r="C2" s="57"/>
      <c r="D2" s="57"/>
      <c r="E2" s="57"/>
      <c r="F2" s="57"/>
    </row>
    <row r="4" customFormat="false" ht="15" hidden="false" customHeight="true" outlineLevel="0" collapsed="false">
      <c r="B4" s="60" t="s">
        <v>178</v>
      </c>
      <c r="C4" s="60" t="s">
        <v>4</v>
      </c>
      <c r="D4" s="60" t="s">
        <v>5</v>
      </c>
      <c r="E4" s="60" t="s">
        <v>6</v>
      </c>
      <c r="F4" s="60" t="s">
        <v>179</v>
      </c>
    </row>
    <row r="5" customFormat="false" ht="15" hidden="false" customHeight="true" outlineLevel="0" collapsed="false">
      <c r="B5" s="45" t="s">
        <v>287</v>
      </c>
      <c r="C5" s="6"/>
      <c r="D5" s="6"/>
      <c r="E5" s="6"/>
      <c r="F5" s="6"/>
    </row>
    <row r="6" customFormat="false" ht="30" hidden="false" customHeight="true" outlineLevel="0" collapsed="false">
      <c r="B6" s="9" t="s">
        <v>288</v>
      </c>
      <c r="C6" s="25" t="n">
        <f aca="false">Assumptions!C50+Assumptions!C51+Assumptions!C52</f>
        <v>0.466</v>
      </c>
      <c r="D6" s="25" t="n">
        <f aca="false">Assumptions!D50+Assumptions!D51+Assumptions!D52</f>
        <v>0.466</v>
      </c>
      <c r="E6" s="25" t="n">
        <f aca="false">Assumptions!E50+Assumptions!E51+Assumptions!E52</f>
        <v>0.466</v>
      </c>
      <c r="F6" s="9" t="s">
        <v>289</v>
      </c>
    </row>
    <row r="7" customFormat="false" ht="15" hidden="false" customHeight="true" outlineLevel="0" collapsed="false">
      <c r="B7" s="9" t="s">
        <v>290</v>
      </c>
      <c r="C7" s="61" t="n">
        <f aca="false">C6*Assumptions!C54/60</f>
        <v>3.59596666666667E-006</v>
      </c>
      <c r="D7" s="61" t="n">
        <f aca="false">D6*Assumptions!D54/60</f>
        <v>3.59596666666667E-006</v>
      </c>
      <c r="E7" s="61" t="n">
        <f aca="false">E6*Assumptions!E54/60</f>
        <v>3.59596666666667E-006</v>
      </c>
      <c r="F7" s="9" t="s">
        <v>291</v>
      </c>
    </row>
    <row r="8" customFormat="false" ht="15" hidden="false" customHeight="true" outlineLevel="0" collapsed="false">
      <c r="B8" s="9" t="s">
        <v>292</v>
      </c>
      <c r="C8" s="62" t="n">
        <f aca="false">C7*Assumptions!C30</f>
        <v>0.0425998708343333</v>
      </c>
      <c r="D8" s="62" t="n">
        <f aca="false">D7*Assumptions!D30</f>
        <v>0.0425998708343333</v>
      </c>
      <c r="E8" s="62" t="n">
        <f aca="false">E7*Assumptions!E30</f>
        <v>0.0425998708343333</v>
      </c>
      <c r="F8" s="9" t="s">
        <v>293</v>
      </c>
    </row>
    <row r="9" customFormat="false" ht="15" hidden="false" customHeight="true" outlineLevel="0" collapsed="false">
      <c r="B9" s="9" t="s">
        <v>210</v>
      </c>
      <c r="C9" s="63" t="n">
        <f aca="false">ROI!C23</f>
        <v>3080</v>
      </c>
      <c r="D9" s="63" t="n">
        <f aca="false">ROI!D23</f>
        <v>4620</v>
      </c>
      <c r="E9" s="63" t="n">
        <f aca="false">ROI!E23</f>
        <v>6160</v>
      </c>
      <c r="F9" s="9" t="s">
        <v>294</v>
      </c>
    </row>
    <row r="10" customFormat="false" ht="15" hidden="false" customHeight="true" outlineLevel="0" collapsed="false">
      <c r="B10" s="9" t="s">
        <v>295</v>
      </c>
      <c r="C10" s="62" t="n">
        <f aca="false">C9*C8</f>
        <v>131.207602169747</v>
      </c>
      <c r="D10" s="62" t="n">
        <f aca="false">D9*D8</f>
        <v>196.81140325462</v>
      </c>
      <c r="E10" s="62" t="n">
        <f aca="false">E9*E8</f>
        <v>262.415204339493</v>
      </c>
      <c r="F10" s="9" t="s">
        <v>296</v>
      </c>
    </row>
    <row r="11" customFormat="false" ht="15" hidden="false" customHeight="true" outlineLevel="0" collapsed="false">
      <c r="B11" s="9" t="s">
        <v>297</v>
      </c>
      <c r="C11" s="31" t="n">
        <f aca="false">Assumptions!C53/1024*Assumptions!C55</f>
        <v>13.935546875</v>
      </c>
      <c r="D11" s="31" t="n">
        <f aca="false">Assumptions!D53/1024*Assumptions!D55</f>
        <v>13.935546875</v>
      </c>
      <c r="E11" s="31" t="n">
        <f aca="false">Assumptions!E53/1024*Assumptions!E55</f>
        <v>13.935546875</v>
      </c>
      <c r="F11" s="9" t="s">
        <v>298</v>
      </c>
    </row>
    <row r="12" customFormat="false" ht="15" hidden="false" customHeight="true" outlineLevel="0" collapsed="false">
      <c r="B12" s="9" t="s">
        <v>299</v>
      </c>
      <c r="C12" s="49" t="n">
        <f aca="false">C11*12*Assumptions!C30</f>
        <v>1981061.17851563</v>
      </c>
      <c r="D12" s="49" t="n">
        <f aca="false">D11*12*Assumptions!D30</f>
        <v>1981061.17851563</v>
      </c>
      <c r="E12" s="49" t="n">
        <f aca="false">E11*12*Assumptions!E30</f>
        <v>1981061.17851563</v>
      </c>
      <c r="F12" s="9" t="s">
        <v>300</v>
      </c>
    </row>
    <row r="13" customFormat="false" ht="23.25" hidden="false" customHeight="true" outlineLevel="0" collapsed="false">
      <c r="B13" s="41" t="s">
        <v>301</v>
      </c>
      <c r="C13" s="50" t="n">
        <f aca="false">C10+C12</f>
        <v>1981192.38611779</v>
      </c>
      <c r="D13" s="50" t="n">
        <f aca="false">D10+D12</f>
        <v>1981257.98991888</v>
      </c>
      <c r="E13" s="50" t="n">
        <f aca="false">E10+E12</f>
        <v>1981323.59371996</v>
      </c>
      <c r="F13" s="9" t="s">
        <v>302</v>
      </c>
    </row>
    <row r="14" customFormat="false" ht="15" hidden="false" customHeight="true" outlineLevel="0" collapsed="false">
      <c r="B14" s="45" t="s">
        <v>303</v>
      </c>
      <c r="C14" s="6"/>
      <c r="D14" s="6"/>
      <c r="E14" s="6"/>
      <c r="F14" s="6"/>
    </row>
    <row r="15" customFormat="false" ht="30" hidden="false" customHeight="true" outlineLevel="0" collapsed="false">
      <c r="B15" s="41" t="s">
        <v>304</v>
      </c>
      <c r="C15" s="50" t="n">
        <f aca="false">12*Assumptions!C56*Assumptions!C57</f>
        <v>10834771.8348</v>
      </c>
      <c r="D15" s="50" t="n">
        <f aca="false">12*Assumptions!D56*Assumptions!D57</f>
        <v>10834771.8348</v>
      </c>
      <c r="E15" s="50" t="n">
        <f aca="false">12*Assumptions!E56*Assumptions!E57</f>
        <v>10834771.8348</v>
      </c>
      <c r="F15" s="9" t="s">
        <v>305</v>
      </c>
    </row>
    <row r="16" customFormat="false" ht="15" hidden="false" customHeight="true" outlineLevel="0" collapsed="false">
      <c r="B16" s="9" t="s">
        <v>306</v>
      </c>
      <c r="C16" s="56" t="str">
        <f aca="false">IF(OR(Assumptions!C56="",Assumptions!C57=""),"input missing","ok")</f>
        <v>ok</v>
      </c>
      <c r="D16" s="56" t="str">
        <f aca="false">IF(OR(Assumptions!D56="",Assumptions!D57=""),"input missing","ok")</f>
        <v>ok</v>
      </c>
      <c r="E16" s="56" t="str">
        <f aca="false">IF(OR(Assumptions!E56="",Assumptions!E57=""),"input missing","ok")</f>
        <v>ok</v>
      </c>
      <c r="F16" s="9" t="s">
        <v>307</v>
      </c>
    </row>
    <row r="17" customFormat="false" ht="15" hidden="false" customHeight="true" outlineLevel="0" collapsed="false">
      <c r="B17" s="45" t="s">
        <v>308</v>
      </c>
      <c r="C17" s="6"/>
      <c r="D17" s="6"/>
      <c r="E17" s="6"/>
      <c r="F17" s="6"/>
    </row>
    <row r="18" customFormat="false" ht="15" hidden="false" customHeight="true" outlineLevel="0" collapsed="false">
      <c r="B18" s="9" t="s">
        <v>309</v>
      </c>
      <c r="C18" s="64" t="n">
        <f aca="false">Assumptions!$C$49</f>
        <v>1</v>
      </c>
      <c r="D18" s="64" t="n">
        <f aca="false">Assumptions!$C$49</f>
        <v>1</v>
      </c>
      <c r="E18" s="64" t="n">
        <f aca="false">Assumptions!$C$49</f>
        <v>1</v>
      </c>
      <c r="F18" s="9" t="s">
        <v>310</v>
      </c>
    </row>
    <row r="19" customFormat="false" ht="23.25" hidden="false" customHeight="true" outlineLevel="0" collapsed="false">
      <c r="B19" s="9" t="s">
        <v>311</v>
      </c>
      <c r="C19" s="49" t="n">
        <f aca="false">CHOOSE(C18,Assumptions!C26,0,0)</f>
        <v>142000000</v>
      </c>
      <c r="D19" s="49" t="n">
        <f aca="false">CHOOSE(D18,Assumptions!D26,0,0)</f>
        <v>118500000</v>
      </c>
      <c r="E19" s="49" t="n">
        <f aca="false">CHOOSE(E18,Assumptions!E26,0,0)</f>
        <v>95000000</v>
      </c>
      <c r="F19" s="9" t="s">
        <v>312</v>
      </c>
    </row>
    <row r="20" customFormat="false" ht="15" hidden="false" customHeight="true" outlineLevel="0" collapsed="false">
      <c r="B20" s="9" t="s">
        <v>313</v>
      </c>
      <c r="C20" s="49" t="n">
        <f aca="false">CHOOSE(C18,0,C15,C13)</f>
        <v>0</v>
      </c>
      <c r="D20" s="49" t="n">
        <f aca="false">CHOOSE(D18,0,D15,D13)</f>
        <v>0</v>
      </c>
      <c r="E20" s="49" t="n">
        <f aca="false">CHOOSE(E18,0,E15,E13)</f>
        <v>0</v>
      </c>
      <c r="F20" s="9" t="s">
        <v>314</v>
      </c>
    </row>
    <row r="21" customFormat="false" ht="23.25" hidden="false" customHeight="true" outlineLevel="0" collapsed="false">
      <c r="B21" s="45" t="s">
        <v>315</v>
      </c>
      <c r="C21" s="6"/>
      <c r="D21" s="6"/>
      <c r="E21" s="6"/>
      <c r="F21" s="6"/>
    </row>
    <row r="22" customFormat="false" ht="15" hidden="false" customHeight="true" outlineLevel="0" collapsed="false">
      <c r="B22" s="41" t="s">
        <v>316</v>
      </c>
      <c r="C22" s="9"/>
      <c r="D22" s="9"/>
      <c r="E22" s="9"/>
      <c r="F22" s="9"/>
    </row>
    <row r="23" customFormat="false" ht="15" hidden="false" customHeight="true" outlineLevel="0" collapsed="false">
      <c r="B23" s="9" t="s">
        <v>317</v>
      </c>
      <c r="C23" s="49" t="n">
        <f aca="false">Assumptions!C26</f>
        <v>142000000</v>
      </c>
      <c r="D23" s="49" t="n">
        <f aca="false">Assumptions!D26</f>
        <v>118500000</v>
      </c>
      <c r="E23" s="49" t="n">
        <f aca="false">Assumptions!E26</f>
        <v>95000000</v>
      </c>
      <c r="F23" s="9"/>
    </row>
    <row r="24" customFormat="false" ht="15" hidden="false" customHeight="true" outlineLevel="0" collapsed="false">
      <c r="B24" s="9" t="s">
        <v>318</v>
      </c>
      <c r="C24" s="49" t="n">
        <f aca="false">Assumptions!C27+Assumptions!C28+0+0</f>
        <v>72600000</v>
      </c>
      <c r="D24" s="49" t="n">
        <f aca="false">Assumptions!D27+Assumptions!D28+0+0</f>
        <v>70100000</v>
      </c>
      <c r="E24" s="49" t="n">
        <f aca="false">Assumptions!E27+Assumptions!E28+0+0</f>
        <v>67600000</v>
      </c>
      <c r="F24" s="9" t="s">
        <v>319</v>
      </c>
    </row>
    <row r="25" customFormat="false" ht="15" hidden="false" customHeight="true" outlineLevel="0" collapsed="false">
      <c r="B25" s="9" t="s">
        <v>320</v>
      </c>
      <c r="C25" s="49" t="n">
        <f aca="false">ROI!C11-C24</f>
        <v>81400000</v>
      </c>
      <c r="D25" s="49" t="n">
        <f aca="false">ROI!D11-D24</f>
        <v>669100000</v>
      </c>
      <c r="E25" s="49" t="n">
        <f aca="false">ROI!E11-E24</f>
        <v>1410800000</v>
      </c>
      <c r="F25" s="9" t="s">
        <v>321</v>
      </c>
    </row>
    <row r="26" customFormat="false" ht="15" hidden="false" customHeight="true" outlineLevel="0" collapsed="false">
      <c r="B26" s="9" t="s">
        <v>322</v>
      </c>
      <c r="C26" s="53" t="n">
        <f aca="false">IF(C25&lt;=0,"no payback",C23/(C25/12))</f>
        <v>20.9336609336609</v>
      </c>
      <c r="D26" s="53" t="n">
        <f aca="false">IF(D25&lt;=0,"no payback",D23/(D25/12))</f>
        <v>2.12524286354805</v>
      </c>
      <c r="E26" s="53" t="n">
        <f aca="false">IF(E25&lt;=0,"no payback",E23/(E25/12))</f>
        <v>0.808052168982138</v>
      </c>
      <c r="F26" s="9" t="s">
        <v>323</v>
      </c>
    </row>
    <row r="27" customFormat="false" ht="15" hidden="false" customHeight="true" outlineLevel="0" collapsed="false">
      <c r="B27" s="41" t="s">
        <v>324</v>
      </c>
      <c r="C27" s="9"/>
      <c r="D27" s="9"/>
      <c r="E27" s="9"/>
      <c r="F27" s="9"/>
    </row>
    <row r="28" customFormat="false" ht="15" hidden="false" customHeight="true" outlineLevel="0" collapsed="false">
      <c r="B28" s="9" t="s">
        <v>317</v>
      </c>
      <c r="C28" s="49" t="n">
        <f aca="false">0</f>
        <v>0</v>
      </c>
      <c r="D28" s="49" t="n">
        <f aca="false">0</f>
        <v>0</v>
      </c>
      <c r="E28" s="49" t="n">
        <f aca="false">0</f>
        <v>0</v>
      </c>
      <c r="F28" s="9"/>
    </row>
    <row r="29" customFormat="false" ht="15" hidden="false" customHeight="true" outlineLevel="0" collapsed="false">
      <c r="B29" s="9" t="s">
        <v>318</v>
      </c>
      <c r="C29" s="49" t="n">
        <f aca="false">Assumptions!C27+Assumptions!C28+C15+C45</f>
        <v>83890864.7798</v>
      </c>
      <c r="D29" s="49" t="n">
        <f aca="false">Assumptions!D27+Assumptions!D28+D15+D45</f>
        <v>81310774.858658</v>
      </c>
      <c r="E29" s="49" t="n">
        <f aca="false">Assumptions!E27+Assumptions!E28+E15+E45</f>
        <v>78685440.517372</v>
      </c>
      <c r="F29" s="9" t="s">
        <v>325</v>
      </c>
    </row>
    <row r="30" customFormat="false" ht="15" hidden="false" customHeight="true" outlineLevel="0" collapsed="false">
      <c r="B30" s="9" t="s">
        <v>320</v>
      </c>
      <c r="C30" s="49" t="n">
        <f aca="false">ROI!C11-C29</f>
        <v>70109135.2202</v>
      </c>
      <c r="D30" s="49" t="n">
        <f aca="false">ROI!D11-D29</f>
        <v>657889225.141342</v>
      </c>
      <c r="E30" s="49" t="n">
        <f aca="false">ROI!E11-E29</f>
        <v>1399714559.48263</v>
      </c>
      <c r="F30" s="9" t="s">
        <v>321</v>
      </c>
    </row>
    <row r="31" customFormat="false" ht="15" hidden="false" customHeight="true" outlineLevel="0" collapsed="false">
      <c r="B31" s="9" t="s">
        <v>322</v>
      </c>
      <c r="C31" s="53" t="n">
        <f aca="false">IF(C30&lt;=0,"no payback",C28/(C30/12))</f>
        <v>0</v>
      </c>
      <c r="D31" s="53" t="n">
        <f aca="false">IF(D30&lt;=0,"no payback",D28/(D30/12))</f>
        <v>0</v>
      </c>
      <c r="E31" s="53" t="n">
        <f aca="false">IF(E30&lt;=0,"no payback",E28/(E30/12))</f>
        <v>0</v>
      </c>
      <c r="F31" s="9" t="s">
        <v>323</v>
      </c>
    </row>
    <row r="32" customFormat="false" ht="15" hidden="false" customHeight="true" outlineLevel="0" collapsed="false">
      <c r="B32" s="41" t="s">
        <v>326</v>
      </c>
      <c r="C32" s="9"/>
      <c r="D32" s="9"/>
      <c r="E32" s="9"/>
      <c r="F32" s="9"/>
    </row>
    <row r="33" customFormat="false" ht="15" hidden="false" customHeight="true" outlineLevel="0" collapsed="false">
      <c r="B33" s="9" t="s">
        <v>317</v>
      </c>
      <c r="C33" s="49" t="n">
        <f aca="false">0</f>
        <v>0</v>
      </c>
      <c r="D33" s="49" t="n">
        <f aca="false">0</f>
        <v>0</v>
      </c>
      <c r="E33" s="49" t="n">
        <f aca="false">0</f>
        <v>0</v>
      </c>
      <c r="F33" s="9"/>
    </row>
    <row r="34" customFormat="false" ht="15" hidden="false" customHeight="true" outlineLevel="0" collapsed="false">
      <c r="B34" s="9" t="s">
        <v>318</v>
      </c>
      <c r="C34" s="49" t="n">
        <f aca="false">Assumptions!C27+Assumptions!C28+C13+C45</f>
        <v>75037285.3311178</v>
      </c>
      <c r="D34" s="49" t="n">
        <f aca="false">Assumptions!D27+Assumptions!D28+D13+D45</f>
        <v>72457261.0137769</v>
      </c>
      <c r="E34" s="49" t="n">
        <f aca="false">Assumptions!E27+Assumptions!E28+E13+E45</f>
        <v>69831992.276292</v>
      </c>
      <c r="F34" s="9" t="s">
        <v>325</v>
      </c>
    </row>
    <row r="35" customFormat="false" ht="15" hidden="false" customHeight="true" outlineLevel="0" collapsed="false">
      <c r="B35" s="9" t="s">
        <v>320</v>
      </c>
      <c r="C35" s="49" t="n">
        <f aca="false">ROI!C11-C34</f>
        <v>78962714.6688822</v>
      </c>
      <c r="D35" s="49" t="n">
        <f aca="false">ROI!D11-D34</f>
        <v>666742738.986223</v>
      </c>
      <c r="E35" s="49" t="n">
        <f aca="false">ROI!E11-E34</f>
        <v>1408568007.72371</v>
      </c>
      <c r="F35" s="9" t="s">
        <v>321</v>
      </c>
    </row>
    <row r="36" customFormat="false" ht="15" hidden="false" customHeight="true" outlineLevel="0" collapsed="false">
      <c r="B36" s="9" t="s">
        <v>322</v>
      </c>
      <c r="C36" s="53" t="n">
        <f aca="false">IF(C35&lt;=0,"no payback",C33/(C35/12))</f>
        <v>0</v>
      </c>
      <c r="D36" s="53" t="n">
        <f aca="false">IF(D35&lt;=0,"no payback",D33/(D35/12))</f>
        <v>0</v>
      </c>
      <c r="E36" s="53" t="n">
        <f aca="false">IF(E35&lt;=0,"no payback",E33/(E35/12))</f>
        <v>0</v>
      </c>
      <c r="F36" s="9" t="s">
        <v>323</v>
      </c>
    </row>
    <row r="37" customFormat="false" ht="57.75" hidden="false" customHeight="true" outlineLevel="0" collapsed="false">
      <c r="B37" s="57" t="s">
        <v>327</v>
      </c>
      <c r="C37" s="57"/>
      <c r="D37" s="57"/>
      <c r="E37" s="57"/>
      <c r="F37" s="57"/>
    </row>
    <row r="39" customFormat="false" ht="15" hidden="false" customHeight="true" outlineLevel="0" collapsed="false">
      <c r="B39" s="65" t="s">
        <v>328</v>
      </c>
    </row>
    <row r="40" customFormat="false" ht="30" hidden="false" customHeight="true" outlineLevel="0" collapsed="false">
      <c r="B40" s="9" t="s">
        <v>329</v>
      </c>
      <c r="C40" s="49" t="n">
        <f aca="false">Assumptions!C71*12*Assumptions!C30</f>
        <v>710794.2</v>
      </c>
      <c r="D40" s="49" t="n">
        <f aca="false">Assumptions!D71*12*Assumptions!D30</f>
        <v>710794.2</v>
      </c>
      <c r="E40" s="49" t="n">
        <f aca="false">Assumptions!E71*12*Assumptions!E30</f>
        <v>710794.2</v>
      </c>
      <c r="F40" s="9" t="s">
        <v>330</v>
      </c>
    </row>
    <row r="41" customFormat="false" ht="30" hidden="false" customHeight="true" outlineLevel="0" collapsed="false">
      <c r="B41" s="9" t="s">
        <v>331</v>
      </c>
      <c r="C41" s="49" t="n">
        <f aca="false">C13</f>
        <v>1981192.38611779</v>
      </c>
      <c r="D41" s="49" t="n">
        <f aca="false">D13</f>
        <v>1981257.98991888</v>
      </c>
      <c r="E41" s="49" t="n">
        <f aca="false">E13</f>
        <v>1981323.59371996</v>
      </c>
      <c r="F41" s="9" t="s">
        <v>332</v>
      </c>
    </row>
    <row r="42" customFormat="false" ht="30" hidden="false" customHeight="true" outlineLevel="0" collapsed="false">
      <c r="B42" s="9" t="s">
        <v>333</v>
      </c>
      <c r="C42" s="49" t="n">
        <f aca="false">C41-C40</f>
        <v>1270398.18611779</v>
      </c>
      <c r="D42" s="49" t="n">
        <f aca="false">D41-D40</f>
        <v>1270463.78991888</v>
      </c>
      <c r="E42" s="49" t="n">
        <f aca="false">E41-E40</f>
        <v>1270529.39371996</v>
      </c>
      <c r="F42" s="9" t="s">
        <v>334</v>
      </c>
    </row>
    <row r="44" customFormat="false" ht="15" hidden="false" customHeight="false" outlineLevel="0" collapsed="false">
      <c r="B44" s="7" t="s">
        <v>335</v>
      </c>
      <c r="C44" s="35"/>
      <c r="D44" s="35"/>
      <c r="E44" s="35"/>
      <c r="F44" s="35"/>
    </row>
    <row r="45" customFormat="false" ht="43.5" hidden="false" customHeight="true" outlineLevel="0" collapsed="false">
      <c r="B45" s="9" t="s">
        <v>336</v>
      </c>
      <c r="C45" s="49" t="n">
        <f aca="false">ROI!C23*Assumptions!C29*Assumptions!C30</f>
        <v>456092.945</v>
      </c>
      <c r="D45" s="49" t="n">
        <f aca="false">ROI!D23*Assumptions!D29*Assumptions!D30</f>
        <v>376003.023858</v>
      </c>
      <c r="E45" s="49" t="n">
        <f aca="false">ROI!E23*Assumptions!E29*Assumptions!E30</f>
        <v>250668.682572</v>
      </c>
      <c r="F45" s="9" t="s">
        <v>337</v>
      </c>
    </row>
    <row r="46" customFormat="false" ht="43.5" hidden="false" customHeight="true" outlineLevel="0" collapsed="false">
      <c r="B46" s="9" t="s">
        <v>338</v>
      </c>
      <c r="C46" s="49" t="n">
        <f aca="false">IF(C18=1,0,C45)</f>
        <v>0</v>
      </c>
      <c r="D46" s="49" t="n">
        <f aca="false">IF(D18=1,0,D45)</f>
        <v>0</v>
      </c>
      <c r="E46" s="49" t="n">
        <f aca="false">IF(E18=1,0,E45)</f>
        <v>0</v>
      </c>
      <c r="F46" s="9" t="s">
        <v>339</v>
      </c>
    </row>
  </sheetData>
  <mergeCells count="2">
    <mergeCell ref="B2:F2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8" min="3" style="1" width="15"/>
  </cols>
  <sheetData>
    <row r="1" customFormat="false" ht="32.25" hidden="false" customHeight="true" outlineLevel="0" collapsed="false">
      <c r="B1" s="59" t="s">
        <v>340</v>
      </c>
    </row>
    <row r="2" customFormat="false" ht="30" hidden="false" customHeight="true" outlineLevel="0" collapsed="false">
      <c r="B2" s="57" t="s">
        <v>341</v>
      </c>
      <c r="C2" s="57"/>
      <c r="D2" s="57"/>
      <c r="E2" s="57"/>
      <c r="F2" s="57"/>
      <c r="G2" s="57"/>
      <c r="H2" s="57"/>
    </row>
    <row r="4" customFormat="false" ht="30" hidden="false" customHeight="true" outlineLevel="0" collapsed="false">
      <c r="B4" s="66" t="s">
        <v>342</v>
      </c>
      <c r="C4" s="66"/>
      <c r="D4" s="66"/>
      <c r="E4" s="66"/>
      <c r="F4" s="66"/>
      <c r="G4" s="66"/>
      <c r="H4" s="66"/>
    </row>
    <row r="5" customFormat="false" ht="15" hidden="false" customHeight="true" outlineLevel="0" collapsed="false">
      <c r="B5" s="67" t="s">
        <v>343</v>
      </c>
      <c r="C5" s="68" t="n">
        <v>50000</v>
      </c>
      <c r="D5" s="68" t="n">
        <v>100000</v>
      </c>
      <c r="E5" s="68" t="n">
        <v>150000</v>
      </c>
      <c r="F5" s="68" t="n">
        <v>200000</v>
      </c>
      <c r="G5" s="68" t="n">
        <v>250000</v>
      </c>
      <c r="H5" s="68" t="n">
        <v>300000</v>
      </c>
    </row>
    <row r="6" customFormat="false" ht="15" hidden="false" customHeight="true" outlineLevel="0" collapsed="false">
      <c r="B6" s="69" t="n">
        <v>2</v>
      </c>
      <c r="C6" s="53" t="n">
        <f aca="false">(Assumptions!$D$6*$B6*(1-Assumptions!$D$9)*C$5-(Assumptions!$D$27+Assumptions!$D$28+Infra!$D$20+Assumptions!$D$6*$B6*Assumptions!$D$29*Assumptions!$D$30*(Assumptions!$C$49&lt;&gt;1)))/1000000</f>
        <v>53.1</v>
      </c>
      <c r="D6" s="53" t="n">
        <f aca="false">(Assumptions!$D$6*$B6*(1-Assumptions!$D$9)*D$5-(Assumptions!$D$27+Assumptions!$D$28+Infra!$D$20+Assumptions!$D$6*$B6*Assumptions!$D$29*Assumptions!$D$30*(Assumptions!$C$49&lt;&gt;1)))/1000000</f>
        <v>176.3</v>
      </c>
      <c r="E6" s="53" t="n">
        <f aca="false">(Assumptions!$D$6*$B6*(1-Assumptions!$D$9)*E$5-(Assumptions!$D$27+Assumptions!$D$28+Infra!$D$20+Assumptions!$D$6*$B6*Assumptions!$D$29*Assumptions!$D$30*(Assumptions!$C$49&lt;&gt;1)))/1000000</f>
        <v>299.5</v>
      </c>
      <c r="F6" s="53" t="n">
        <f aca="false">(Assumptions!$D$6*$B6*(1-Assumptions!$D$9)*F$5-(Assumptions!$D$27+Assumptions!$D$28+Infra!$D$20+Assumptions!$D$6*$B6*Assumptions!$D$29*Assumptions!$D$30*(Assumptions!$C$49&lt;&gt;1)))/1000000</f>
        <v>422.7</v>
      </c>
      <c r="G6" s="53" t="n">
        <f aca="false">(Assumptions!$D$6*$B6*(1-Assumptions!$D$9)*G$5-(Assumptions!$D$27+Assumptions!$D$28+Infra!$D$20+Assumptions!$D$6*$B6*Assumptions!$D$29*Assumptions!$D$30*(Assumptions!$C$49&lt;&gt;1)))/1000000</f>
        <v>545.9</v>
      </c>
      <c r="H6" s="53" t="n">
        <f aca="false">(Assumptions!$D$6*$B6*(1-Assumptions!$D$9)*H$5-(Assumptions!$D$27+Assumptions!$D$28+Infra!$D$20+Assumptions!$D$6*$B6*Assumptions!$D$29*Assumptions!$D$30*(Assumptions!$C$49&lt;&gt;1)))/1000000</f>
        <v>669.1</v>
      </c>
    </row>
    <row r="7" customFormat="false" ht="15" hidden="false" customHeight="true" outlineLevel="0" collapsed="false">
      <c r="B7" s="69" t="n">
        <v>3</v>
      </c>
      <c r="C7" s="53" t="n">
        <f aca="false">(Assumptions!$D$6*$B7*(1-Assumptions!$D$9)*C$5-(Assumptions!$D$27+Assumptions!$D$28+Infra!$D$20+Assumptions!$D$6*$B7*Assumptions!$D$29*Assumptions!$D$30*(Assumptions!$C$49&lt;&gt;1)))/1000000</f>
        <v>114.7</v>
      </c>
      <c r="D7" s="53" t="n">
        <f aca="false">(Assumptions!$D$6*$B7*(1-Assumptions!$D$9)*D$5-(Assumptions!$D$27+Assumptions!$D$28+Infra!$D$20+Assumptions!$D$6*$B7*Assumptions!$D$29*Assumptions!$D$30*(Assumptions!$C$49&lt;&gt;1)))/1000000</f>
        <v>299.5</v>
      </c>
      <c r="E7" s="53" t="n">
        <f aca="false">(Assumptions!$D$6*$B7*(1-Assumptions!$D$9)*E$5-(Assumptions!$D$27+Assumptions!$D$28+Infra!$D$20+Assumptions!$D$6*$B7*Assumptions!$D$29*Assumptions!$D$30*(Assumptions!$C$49&lt;&gt;1)))/1000000</f>
        <v>484.3</v>
      </c>
      <c r="F7" s="53" t="n">
        <f aca="false">(Assumptions!$D$6*$B7*(1-Assumptions!$D$9)*F$5-(Assumptions!$D$27+Assumptions!$D$28+Infra!$D$20+Assumptions!$D$6*$B7*Assumptions!$D$29*Assumptions!$D$30*(Assumptions!$C$49&lt;&gt;1)))/1000000</f>
        <v>669.1</v>
      </c>
      <c r="G7" s="53" t="n">
        <f aca="false">(Assumptions!$D$6*$B7*(1-Assumptions!$D$9)*G$5-(Assumptions!$D$27+Assumptions!$D$28+Infra!$D$20+Assumptions!$D$6*$B7*Assumptions!$D$29*Assumptions!$D$30*(Assumptions!$C$49&lt;&gt;1)))/1000000</f>
        <v>853.9</v>
      </c>
      <c r="H7" s="53" t="n">
        <f aca="false">(Assumptions!$D$6*$B7*(1-Assumptions!$D$9)*H$5-(Assumptions!$D$27+Assumptions!$D$28+Infra!$D$20+Assumptions!$D$6*$B7*Assumptions!$D$29*Assumptions!$D$30*(Assumptions!$C$49&lt;&gt;1)))/1000000</f>
        <v>1038.7</v>
      </c>
    </row>
    <row r="8" customFormat="false" ht="15" hidden="false" customHeight="true" outlineLevel="0" collapsed="false">
      <c r="B8" s="69" t="n">
        <v>4</v>
      </c>
      <c r="C8" s="53" t="n">
        <f aca="false">(Assumptions!$D$6*$B8*(1-Assumptions!$D$9)*C$5-(Assumptions!$D$27+Assumptions!$D$28+Infra!$D$20+Assumptions!$D$6*$B8*Assumptions!$D$29*Assumptions!$D$30*(Assumptions!$C$49&lt;&gt;1)))/1000000</f>
        <v>176.3</v>
      </c>
      <c r="D8" s="53" t="n">
        <f aca="false">(Assumptions!$D$6*$B8*(1-Assumptions!$D$9)*D$5-(Assumptions!$D$27+Assumptions!$D$28+Infra!$D$20+Assumptions!$D$6*$B8*Assumptions!$D$29*Assumptions!$D$30*(Assumptions!$C$49&lt;&gt;1)))/1000000</f>
        <v>422.7</v>
      </c>
      <c r="E8" s="53" t="n">
        <f aca="false">(Assumptions!$D$6*$B8*(1-Assumptions!$D$9)*E$5-(Assumptions!$D$27+Assumptions!$D$28+Infra!$D$20+Assumptions!$D$6*$B8*Assumptions!$D$29*Assumptions!$D$30*(Assumptions!$C$49&lt;&gt;1)))/1000000</f>
        <v>669.1</v>
      </c>
      <c r="F8" s="53" t="n">
        <f aca="false">(Assumptions!$D$6*$B8*(1-Assumptions!$D$9)*F$5-(Assumptions!$D$27+Assumptions!$D$28+Infra!$D$20+Assumptions!$D$6*$B8*Assumptions!$D$29*Assumptions!$D$30*(Assumptions!$C$49&lt;&gt;1)))/1000000</f>
        <v>915.5</v>
      </c>
      <c r="G8" s="53" t="n">
        <f aca="false">(Assumptions!$D$6*$B8*(1-Assumptions!$D$9)*G$5-(Assumptions!$D$27+Assumptions!$D$28+Infra!$D$20+Assumptions!$D$6*$B8*Assumptions!$D$29*Assumptions!$D$30*(Assumptions!$C$49&lt;&gt;1)))/1000000</f>
        <v>1161.9</v>
      </c>
      <c r="H8" s="53" t="n">
        <f aca="false">(Assumptions!$D$6*$B8*(1-Assumptions!$D$9)*H$5-(Assumptions!$D$27+Assumptions!$D$28+Infra!$D$20+Assumptions!$D$6*$B8*Assumptions!$D$29*Assumptions!$D$30*(Assumptions!$C$49&lt;&gt;1)))/1000000</f>
        <v>1408.3</v>
      </c>
    </row>
    <row r="9" customFormat="false" ht="43.5" hidden="false" customHeight="true" outlineLevel="0" collapsed="false">
      <c r="B9" s="57" t="s">
        <v>344</v>
      </c>
      <c r="C9" s="57"/>
      <c r="D9" s="57"/>
      <c r="E9" s="57"/>
      <c r="F9" s="57"/>
      <c r="G9" s="57"/>
      <c r="H9" s="57"/>
    </row>
    <row r="11" customFormat="false" ht="30" hidden="false" customHeight="true" outlineLevel="0" collapsed="false">
      <c r="B11" s="66" t="s">
        <v>345</v>
      </c>
      <c r="C11" s="66"/>
      <c r="D11" s="66"/>
      <c r="E11" s="66"/>
      <c r="F11" s="66"/>
      <c r="G11" s="66"/>
      <c r="H11" s="66"/>
    </row>
    <row r="12" customFormat="false" ht="15" hidden="false" customHeight="true" outlineLevel="0" collapsed="false">
      <c r="B12" s="67" t="s">
        <v>346</v>
      </c>
      <c r="C12" s="70" t="n">
        <v>0.25</v>
      </c>
      <c r="D12" s="70" t="n">
        <v>0.5</v>
      </c>
      <c r="E12" s="70" t="n">
        <v>0.75</v>
      </c>
      <c r="F12" s="70" t="n">
        <v>1</v>
      </c>
    </row>
    <row r="13" customFormat="false" ht="15" hidden="false" customHeight="true" outlineLevel="0" collapsed="false">
      <c r="B13" s="70" t="n">
        <v>0.03</v>
      </c>
      <c r="C13" s="53" t="n">
        <f aca="false">Assumptions!$D$6*$B13*Assumptions!$D$14*MAX(Assumptions!$D$15-Assumptions!$D$35,0)*C$12/1000000</f>
        <v>159.59328</v>
      </c>
      <c r="D13" s="53" t="n">
        <f aca="false">Assumptions!$D$6*$B13*Assumptions!$D$14*MAX(Assumptions!$D$15-Assumptions!$D$35,0)*D$12/1000000</f>
        <v>319.18656</v>
      </c>
      <c r="E13" s="53" t="n">
        <f aca="false">Assumptions!$D$6*$B13*Assumptions!$D$14*MAX(Assumptions!$D$15-Assumptions!$D$35,0)*E$12/1000000</f>
        <v>478.77984</v>
      </c>
      <c r="F13" s="53" t="n">
        <f aca="false">Assumptions!$D$6*$B13*Assumptions!$D$14*MAX(Assumptions!$D$15-Assumptions!$D$35,0)*F$12/1000000</f>
        <v>638.37312</v>
      </c>
    </row>
    <row r="14" customFormat="false" ht="15" hidden="false" customHeight="true" outlineLevel="0" collapsed="false">
      <c r="B14" s="70" t="n">
        <v>0.05</v>
      </c>
      <c r="C14" s="53" t="n">
        <f aca="false">Assumptions!$D$6*$B14*Assumptions!$D$14*MAX(Assumptions!$D$15-Assumptions!$D$35,0)*C$12/1000000</f>
        <v>265.9888</v>
      </c>
      <c r="D14" s="53" t="n">
        <f aca="false">Assumptions!$D$6*$B14*Assumptions!$D$14*MAX(Assumptions!$D$15-Assumptions!$D$35,0)*D$12/1000000</f>
        <v>531.9776</v>
      </c>
      <c r="E14" s="53" t="n">
        <f aca="false">Assumptions!$D$6*$B14*Assumptions!$D$14*MAX(Assumptions!$D$15-Assumptions!$D$35,0)*E$12/1000000</f>
        <v>797.9664</v>
      </c>
      <c r="F14" s="53" t="n">
        <f aca="false">Assumptions!$D$6*$B14*Assumptions!$D$14*MAX(Assumptions!$D$15-Assumptions!$D$35,0)*F$12/1000000</f>
        <v>1063.9552</v>
      </c>
    </row>
    <row r="15" customFormat="false" ht="15" hidden="false" customHeight="true" outlineLevel="0" collapsed="false">
      <c r="B15" s="70" t="n">
        <v>0.07</v>
      </c>
      <c r="C15" s="53" t="n">
        <f aca="false">Assumptions!$D$6*$B15*Assumptions!$D$14*MAX(Assumptions!$D$15-Assumptions!$D$35,0)*C$12/1000000</f>
        <v>372.38432</v>
      </c>
      <c r="D15" s="53" t="n">
        <f aca="false">Assumptions!$D$6*$B15*Assumptions!$D$14*MAX(Assumptions!$D$15-Assumptions!$D$35,0)*D$12/1000000</f>
        <v>744.76864</v>
      </c>
      <c r="E15" s="53" t="n">
        <f aca="false">Assumptions!$D$6*$B15*Assumptions!$D$14*MAX(Assumptions!$D$15-Assumptions!$D$35,0)*E$12/1000000</f>
        <v>1117.15296</v>
      </c>
      <c r="F15" s="53" t="n">
        <f aca="false">Assumptions!$D$6*$B15*Assumptions!$D$14*MAX(Assumptions!$D$15-Assumptions!$D$35,0)*F$12/1000000</f>
        <v>1489.53728</v>
      </c>
    </row>
    <row r="16" customFormat="false" ht="15" hidden="false" customHeight="true" outlineLevel="0" collapsed="false">
      <c r="B16" s="70" t="n">
        <v>0.13</v>
      </c>
      <c r="C16" s="53" t="n">
        <f aca="false">Assumptions!$D$6*$B16*Assumptions!$D$14*MAX(Assumptions!$D$15-Assumptions!$D$35,0)*C$12/1000000</f>
        <v>691.57088</v>
      </c>
      <c r="D16" s="53" t="n">
        <f aca="false">Assumptions!$D$6*$B16*Assumptions!$D$14*MAX(Assumptions!$D$15-Assumptions!$D$35,0)*D$12/1000000</f>
        <v>1383.14176</v>
      </c>
      <c r="E16" s="53" t="n">
        <f aca="false">Assumptions!$D$6*$B16*Assumptions!$D$14*MAX(Assumptions!$D$15-Assumptions!$D$35,0)*E$12/1000000</f>
        <v>2074.71264</v>
      </c>
      <c r="F16" s="53" t="n">
        <f aca="false">Assumptions!$D$6*$B16*Assumptions!$D$14*MAX(Assumptions!$D$15-Assumptions!$D$35,0)*F$12/1000000</f>
        <v>2766.28352</v>
      </c>
    </row>
    <row r="17" customFormat="false" ht="43.5" hidden="false" customHeight="true" outlineLevel="0" collapsed="false">
      <c r="B17" s="57" t="s">
        <v>347</v>
      </c>
      <c r="C17" s="57"/>
      <c r="D17" s="57"/>
      <c r="E17" s="57"/>
      <c r="F17" s="57"/>
      <c r="G17" s="57"/>
      <c r="H17" s="57"/>
    </row>
    <row r="19" customFormat="false" ht="15" hidden="false" customHeight="true" outlineLevel="0" collapsed="false">
      <c r="B19" s="65" t="s">
        <v>348</v>
      </c>
    </row>
    <row r="20" customFormat="false" ht="15" hidden="false" customHeight="true" outlineLevel="0" collapsed="false">
      <c r="B20" s="71" t="s">
        <v>349</v>
      </c>
      <c r="C20" s="71" t="s">
        <v>350</v>
      </c>
      <c r="D20" s="71" t="s">
        <v>351</v>
      </c>
    </row>
    <row r="21" customFormat="false" ht="15" hidden="false" customHeight="true" outlineLevel="0" collapsed="false">
      <c r="B21" s="72" t="n">
        <v>0.2</v>
      </c>
      <c r="C21" s="73" t="n">
        <f aca="false">(Assumptions!$D$6*Assumptions!$D$7*(1-$B21)*Assumptions!$D$8-ROI!$D$25)/1000000</f>
        <v>669.1</v>
      </c>
      <c r="D21" s="74" t="n">
        <f aca="false">IF(ISNUMBER(ROI!$D$21),IF(C21&lt;=0,"no payback",ROI!$D$21/(C21*1000000/12)),"not entered")</f>
        <v>3.1403377671499</v>
      </c>
    </row>
    <row r="22" customFormat="false" ht="15" hidden="false" customHeight="true" outlineLevel="0" collapsed="false">
      <c r="B22" s="72" t="n">
        <v>0.3</v>
      </c>
      <c r="C22" s="73" t="n">
        <f aca="false">(Assumptions!$D$6*Assumptions!$D$7*(1-$B22)*Assumptions!$D$8-ROI!$D$25)/1000000</f>
        <v>576.7</v>
      </c>
      <c r="D22" s="74" t="n">
        <f aca="false">IF(ISNUMBER(ROI!$D$21),IF(C22&lt;=0,"no payback",ROI!$D$21/(C22*1000000/12)),"not entered")</f>
        <v>3.64348881567539</v>
      </c>
    </row>
    <row r="23" customFormat="false" ht="15" hidden="false" customHeight="true" outlineLevel="0" collapsed="false">
      <c r="B23" s="72" t="n">
        <v>0.4</v>
      </c>
      <c r="C23" s="73" t="n">
        <f aca="false">(Assumptions!$D$6*Assumptions!$D$7*(1-$B23)*Assumptions!$D$8-ROI!$D$25)/1000000</f>
        <v>484.3</v>
      </c>
      <c r="D23" s="74" t="n">
        <f aca="false">IF(ISNUMBER(ROI!$D$21),IF(C23&lt;=0,"no payback",ROI!$D$21/(C23*1000000/12)),"not entered")</f>
        <v>4.33863307867025</v>
      </c>
    </row>
    <row r="24" customFormat="false" ht="15" hidden="false" customHeight="true" outlineLevel="0" collapsed="false">
      <c r="B24" s="72" t="n">
        <v>0.5</v>
      </c>
      <c r="C24" s="73" t="n">
        <f aca="false">(Assumptions!$D$6*Assumptions!$D$7*(1-$B24)*Assumptions!$D$8-ROI!$D$25)/1000000</f>
        <v>391.9</v>
      </c>
      <c r="D24" s="74" t="n">
        <f aca="false">IF(ISNUMBER(ROI!$D$21),IF(C24&lt;=0,"no payback",ROI!$D$21/(C24*1000000/12)),"not entered")</f>
        <v>5.36157182954835</v>
      </c>
    </row>
    <row r="25" customFormat="false" ht="15" hidden="false" customHeight="true" outlineLevel="0" collapsed="false">
      <c r="B25" s="72" t="n">
        <v>0.6</v>
      </c>
      <c r="C25" s="73" t="n">
        <f aca="false">(Assumptions!$D$6*Assumptions!$D$7*(1-$B25)*Assumptions!$D$8-ROI!$D$25)/1000000</f>
        <v>299.5</v>
      </c>
      <c r="D25" s="74" t="n">
        <f aca="false">IF(ISNUMBER(ROI!$D$21),IF(C25&lt;=0,"no payback",ROI!$D$21/(C25*1000000/12)),"not entered")</f>
        <v>7.01569282136895</v>
      </c>
    </row>
    <row r="26" customFormat="false" ht="15" hidden="false" customHeight="true" outlineLevel="0" collapsed="false">
      <c r="B26" s="1" t="s">
        <v>352</v>
      </c>
    </row>
  </sheetData>
  <mergeCells count="5">
    <mergeCell ref="B2:H2"/>
    <mergeCell ref="B4:H4"/>
    <mergeCell ref="B9:H9"/>
    <mergeCell ref="B11:H11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4" min="3" style="1" width="16"/>
    <col collapsed="false" customWidth="true" hidden="false" outlineLevel="0" max="6" min="5" style="1" width="20"/>
  </cols>
  <sheetData>
    <row r="1" customFormat="false" ht="32.25" hidden="false" customHeight="true" outlineLevel="0" collapsed="false">
      <c r="B1" s="59" t="s">
        <v>353</v>
      </c>
    </row>
    <row r="2" customFormat="false" ht="30" hidden="false" customHeight="true" outlineLevel="0" collapsed="false">
      <c r="B2" s="57" t="s">
        <v>354</v>
      </c>
      <c r="C2" s="57"/>
      <c r="D2" s="57"/>
      <c r="E2" s="57"/>
      <c r="F2" s="57"/>
    </row>
    <row r="4" customFormat="false" ht="23.25" hidden="false" customHeight="true" outlineLevel="0" collapsed="false">
      <c r="B4" s="67" t="s">
        <v>355</v>
      </c>
      <c r="C4" s="67" t="s">
        <v>356</v>
      </c>
      <c r="D4" s="67" t="s">
        <v>357</v>
      </c>
      <c r="E4" s="67" t="s">
        <v>358</v>
      </c>
    </row>
    <row r="5" customFormat="false" ht="15" hidden="false" customHeight="true" outlineLevel="0" collapsed="false">
      <c r="B5" s="9" t="s">
        <v>359</v>
      </c>
      <c r="C5" s="9" t="s">
        <v>360</v>
      </c>
      <c r="D5" s="75" t="n">
        <v>49400000</v>
      </c>
      <c r="E5" s="75" t="n">
        <v>49700000</v>
      </c>
    </row>
    <row r="6" customFormat="false" ht="15" hidden="false" customHeight="true" outlineLevel="0" collapsed="false">
      <c r="B6" s="9" t="s">
        <v>361</v>
      </c>
      <c r="C6" s="9" t="s">
        <v>360</v>
      </c>
      <c r="D6" s="75" t="n">
        <v>27100000</v>
      </c>
      <c r="E6" s="75" t="n">
        <v>27800000</v>
      </c>
    </row>
    <row r="7" customFormat="false" ht="15" hidden="false" customHeight="true" outlineLevel="0" collapsed="false">
      <c r="B7" s="9" t="s">
        <v>362</v>
      </c>
      <c r="C7" s="9" t="s">
        <v>360</v>
      </c>
      <c r="D7" s="75" t="n">
        <v>58200000</v>
      </c>
      <c r="E7" s="75" t="n">
        <v>58500000</v>
      </c>
    </row>
    <row r="8" customFormat="false" ht="15" hidden="false" customHeight="true" outlineLevel="0" collapsed="false">
      <c r="B8" s="9" t="s">
        <v>363</v>
      </c>
      <c r="C8" s="9" t="s">
        <v>360</v>
      </c>
      <c r="D8" s="75" t="n">
        <v>41900000</v>
      </c>
      <c r="E8" s="75" t="n">
        <v>41300000</v>
      </c>
    </row>
    <row r="9" customFormat="false" ht="15" hidden="false" customHeight="true" outlineLevel="0" collapsed="false">
      <c r="B9" s="9" t="s">
        <v>364</v>
      </c>
      <c r="C9" s="9" t="s">
        <v>360</v>
      </c>
      <c r="D9" s="75" t="n">
        <v>99400000</v>
      </c>
      <c r="E9" s="75" t="n">
        <v>91200000</v>
      </c>
    </row>
    <row r="10" customFormat="false" ht="15" hidden="false" customHeight="true" outlineLevel="0" collapsed="false">
      <c r="B10" s="9" t="s">
        <v>365</v>
      </c>
      <c r="C10" s="9" t="s">
        <v>366</v>
      </c>
      <c r="D10" s="75" t="n">
        <v>28600000</v>
      </c>
      <c r="E10" s="75" t="n">
        <v>29700000</v>
      </c>
    </row>
    <row r="11" customFormat="false" ht="15" hidden="false" customHeight="true" outlineLevel="0" collapsed="false">
      <c r="B11" s="9" t="s">
        <v>367</v>
      </c>
      <c r="C11" s="9" t="s">
        <v>368</v>
      </c>
      <c r="D11" s="75" t="n">
        <v>33900000</v>
      </c>
      <c r="E11" s="75" t="n">
        <v>32600000</v>
      </c>
    </row>
    <row r="12" customFormat="false" ht="15" hidden="false" customHeight="true" outlineLevel="0" collapsed="false">
      <c r="B12" s="9" t="s">
        <v>369</v>
      </c>
      <c r="C12" s="9" t="s">
        <v>370</v>
      </c>
      <c r="D12" s="75" t="n">
        <v>99200000</v>
      </c>
      <c r="E12" s="75" t="n">
        <v>97100000</v>
      </c>
    </row>
    <row r="13" customFormat="false" ht="15" hidden="false" customHeight="true" outlineLevel="0" collapsed="false">
      <c r="B13" s="9" t="s">
        <v>371</v>
      </c>
      <c r="C13" s="9" t="s">
        <v>372</v>
      </c>
      <c r="D13" s="75" t="n">
        <v>114300000</v>
      </c>
      <c r="E13" s="75" t="n">
        <v>108900000</v>
      </c>
    </row>
    <row r="14" customFormat="false" ht="15" hidden="false" customHeight="true" outlineLevel="0" collapsed="false">
      <c r="B14" s="9" t="s">
        <v>373</v>
      </c>
      <c r="C14" s="9" t="s">
        <v>366</v>
      </c>
      <c r="D14" s="75" t="n">
        <v>48400000</v>
      </c>
      <c r="E14" s="75" t="n">
        <v>46800000</v>
      </c>
    </row>
    <row r="16" customFormat="false" ht="18" hidden="false" customHeight="true" outlineLevel="0" collapsed="false">
      <c r="B16" s="9" t="s">
        <v>374</v>
      </c>
      <c r="C16" s="23" t="n">
        <f aca="false">COUNTA(B5:B14)</f>
        <v>10</v>
      </c>
    </row>
    <row r="17" customFormat="false" ht="18" hidden="false" customHeight="true" outlineLevel="0" collapsed="false">
      <c r="B17" s="9" t="s">
        <v>375</v>
      </c>
      <c r="C17" s="23" t="n">
        <f aca="false">COUNTIF(C5:C14,"&lt;&gt;halol")</f>
        <v>5</v>
      </c>
    </row>
    <row r="18" customFormat="false" ht="18" hidden="false" customHeight="true" outlineLevel="0" collapsed="false">
      <c r="B18" s="9" t="s">
        <v>376</v>
      </c>
      <c r="C18" s="49" t="n">
        <f aca="false">AVERAGE(D5:D14)</f>
        <v>60040000</v>
      </c>
    </row>
    <row r="19" customFormat="false" ht="18" hidden="false" customHeight="true" outlineLevel="0" collapsed="false">
      <c r="B19" s="9" t="s">
        <v>377</v>
      </c>
      <c r="C19" s="49" t="n">
        <f aca="false">AVERAGEIF(C5:C14,"&lt;&gt;halol",D5:D14)</f>
        <v>64880000</v>
      </c>
    </row>
    <row r="20" customFormat="false" ht="18" hidden="false" customHeight="true" outlineLevel="0" collapsed="false">
      <c r="B20" s="9" t="s">
        <v>378</v>
      </c>
      <c r="C20" s="63" t="n">
        <f aca="false">Assumptions!D14</f>
        <v>27200000</v>
      </c>
    </row>
    <row r="21" customFormat="false" ht="18" hidden="false" customHeight="true" outlineLevel="0" collapsed="false">
      <c r="B21" s="9" t="s">
        <v>379</v>
      </c>
      <c r="C21" s="58" t="n">
        <f aca="false">IF(C18=0,"n/a",C20/C18)</f>
        <v>0.453031312458361</v>
      </c>
    </row>
    <row r="22" customFormat="false" ht="43.5" hidden="false" customHeight="true" outlineLevel="0" collapsed="false">
      <c r="B22" s="57" t="s">
        <v>380</v>
      </c>
      <c r="C22" s="57"/>
      <c r="D22" s="57"/>
      <c r="E22" s="57"/>
      <c r="F22" s="57"/>
    </row>
  </sheetData>
  <mergeCells count="2">
    <mergeCell ref="B2:F2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2.75" zeroHeight="false" outlineLevelRow="0" outlineLevelCol="0"/>
  <cols>
    <col collapsed="false" customWidth="true" hidden="false" outlineLevel="0" max="2" min="2" style="0" width="58"/>
    <col collapsed="false" customWidth="true" hidden="false" outlineLevel="0" max="5" min="3" style="0" width="16"/>
  </cols>
  <sheetData>
    <row r="1" customFormat="false" ht="15" hidden="false" customHeight="true" outlineLevel="0" collapsed="false">
      <c r="B1" s="76" t="s">
        <v>381</v>
      </c>
    </row>
    <row r="2" customFormat="false" ht="15" hidden="false" customHeight="true" outlineLevel="0" collapsed="false">
      <c r="B2" s="77" t="s">
        <v>382</v>
      </c>
    </row>
    <row r="4" customFormat="false" ht="15" hidden="false" customHeight="true" outlineLevel="0" collapsed="false">
      <c r="B4" s="78" t="s">
        <v>178</v>
      </c>
      <c r="C4" s="78" t="s">
        <v>4</v>
      </c>
      <c r="D4" s="78" t="s">
        <v>5</v>
      </c>
      <c r="E4" s="78" t="s">
        <v>6</v>
      </c>
    </row>
    <row r="5" customFormat="false" ht="15" hidden="false" customHeight="true" outlineLevel="0" collapsed="false">
      <c r="B5" s="79" t="s">
        <v>383</v>
      </c>
      <c r="C5" s="80" t="n">
        <f aca="false">ROI!C6</f>
        <v>1540</v>
      </c>
      <c r="D5" s="80" t="n">
        <f aca="false">ROI!D6</f>
        <v>1540</v>
      </c>
      <c r="E5" s="80" t="n">
        <f aca="false">ROI!E6</f>
        <v>1540</v>
      </c>
    </row>
    <row r="6" customFormat="false" ht="15" hidden="false" customHeight="true" outlineLevel="0" collapsed="false">
      <c r="B6" s="79" t="s">
        <v>384</v>
      </c>
      <c r="C6" s="80" t="n">
        <f aca="false">ROI!C9</f>
        <v>1540</v>
      </c>
      <c r="D6" s="80" t="n">
        <f aca="false">ROI!D9</f>
        <v>3696</v>
      </c>
      <c r="E6" s="80" t="n">
        <f aca="false">ROI!E9</f>
        <v>4928</v>
      </c>
    </row>
    <row r="7" customFormat="false" ht="15" hidden="false" customHeight="true" outlineLevel="0" collapsed="false">
      <c r="B7" s="79" t="s">
        <v>385</v>
      </c>
      <c r="C7" s="81" t="n">
        <f aca="false">ROI!C11/1000000</f>
        <v>154</v>
      </c>
      <c r="D7" s="81" t="n">
        <f aca="false">ROI!D11/1000000</f>
        <v>739.2</v>
      </c>
      <c r="E7" s="81" t="n">
        <f aca="false">ROI!E11/1000000</f>
        <v>1478.4</v>
      </c>
    </row>
    <row r="8" customFormat="false" ht="15" hidden="false" customHeight="true" outlineLevel="0" collapsed="false">
      <c r="B8" s="79" t="s">
        <v>386</v>
      </c>
      <c r="C8" s="81" t="n">
        <f aca="false">ROI!C25/1000000</f>
        <v>72.6</v>
      </c>
      <c r="D8" s="81" t="n">
        <f aca="false">ROI!D25/1000000</f>
        <v>70.1</v>
      </c>
      <c r="E8" s="81" t="n">
        <f aca="false">ROI!E25/1000000</f>
        <v>67.6</v>
      </c>
    </row>
    <row r="9" customFormat="false" ht="15" hidden="false" customHeight="true" outlineLevel="0" collapsed="false">
      <c r="B9" s="79" t="s">
        <v>387</v>
      </c>
      <c r="C9" s="81" t="n">
        <f aca="false">ROI!C30/1000000</f>
        <v>81.4</v>
      </c>
      <c r="D9" s="81" t="n">
        <f aca="false">ROI!D30/1000000</f>
        <v>669.1</v>
      </c>
      <c r="E9" s="81" t="n">
        <f aca="false">ROI!E30/1000000</f>
        <v>1410.8</v>
      </c>
    </row>
    <row r="10" customFormat="false" ht="15" hidden="false" customHeight="true" outlineLevel="0" collapsed="false">
      <c r="B10" s="79" t="s">
        <v>388</v>
      </c>
      <c r="C10" s="81" t="n">
        <f aca="false">IF(ISNUMBER(ROI!C21),ROI!C21/1000000,ROI!C21)</f>
        <v>226.8</v>
      </c>
      <c r="D10" s="81" t="n">
        <f aca="false">IF(ISNUMBER(ROI!D21),ROI!D21/1000000,ROI!D21)</f>
        <v>175.1</v>
      </c>
      <c r="E10" s="81" t="n">
        <f aca="false">IF(ISNUMBER(ROI!E21),ROI!E21/1000000,ROI!E21)</f>
        <v>132.8</v>
      </c>
    </row>
    <row r="11" customFormat="false" ht="15" hidden="false" customHeight="true" outlineLevel="0" collapsed="false">
      <c r="B11" s="79" t="s">
        <v>389</v>
      </c>
      <c r="C11" s="82" t="n">
        <f aca="false">ROI!C32</f>
        <v>33.4348894348894</v>
      </c>
      <c r="D11" s="82" t="n">
        <f aca="false">ROI!D32</f>
        <v>3.1403377671499</v>
      </c>
      <c r="E11" s="82" t="n">
        <f aca="false">ROI!E32</f>
        <v>1.12957187411398</v>
      </c>
    </row>
    <row r="12" customFormat="false" ht="15" hidden="false" customHeight="true" outlineLevel="0" collapsed="false">
      <c r="B12" s="79" t="s">
        <v>390</v>
      </c>
      <c r="C12" s="80" t="n">
        <f aca="false">ROI!C27</f>
        <v>23571.4285714286</v>
      </c>
      <c r="D12" s="80" t="n">
        <f aca="false">ROI!D27</f>
        <v>15173.1601731602</v>
      </c>
      <c r="E12" s="80" t="n">
        <f aca="false">ROI!E27</f>
        <v>10974.025974026</v>
      </c>
    </row>
    <row r="13" customFormat="false" ht="15" hidden="false" customHeight="true" outlineLevel="0" collapsed="false">
      <c r="B13" s="79" t="s">
        <v>391</v>
      </c>
      <c r="C13" s="80" t="n">
        <f aca="false">ROI!C28</f>
        <v>100000</v>
      </c>
      <c r="D13" s="80" t="n">
        <f aca="false">ROI!D28</f>
        <v>200000</v>
      </c>
      <c r="E13" s="80" t="n">
        <f aca="false">ROI!E28</f>
        <v>300000</v>
      </c>
    </row>
    <row r="14" customFormat="false" ht="15" hidden="false" customHeight="true" outlineLevel="0" collapsed="false">
      <c r="B14" s="79" t="s">
        <v>392</v>
      </c>
      <c r="C14" s="83" t="n">
        <f aca="false">Assumptions!C15</f>
        <v>0.728</v>
      </c>
      <c r="D14" s="83" t="n">
        <f aca="false">Assumptions!D15</f>
        <v>0.782</v>
      </c>
      <c r="E14" s="83" t="n">
        <f aca="false">Assumptions!E15</f>
        <v>0.832</v>
      </c>
    </row>
    <row r="16" customFormat="false" ht="15" hidden="false" customHeight="true" outlineLevel="0" collapsed="false">
      <c r="B16" s="77" t="s">
        <v>393</v>
      </c>
    </row>
    <row r="17" customFormat="false" ht="15" hidden="false" customHeight="true" outlineLevel="0" collapsed="false">
      <c r="B17" s="77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2026-10-10T17:50:45Z</dcterms:created>
  <dc:creator>openpyxl</dc:creator>
  <dc:description/>
  <dc:language>en-US</dc:language>
  <cp:lastModifiedBy>Shohijahon Shavkatov</cp:lastModifiedBy>
  <dcterms:modified xsi:type="dcterms:W3CDTF">2026-10-11T04:51:44Z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