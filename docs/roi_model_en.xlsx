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ROI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<sst xmlns="http://schemas.openxmlformats.org/spreadsheetml/2006/main" count="168" uniqueCount="138">
  <si>
    <t xml:space="preserve">MAQSAD ROI model: assumptions and inputs</t>
  </si>
  <si>
    <t xml:space="preserve">Every assumption has its own row. Pessimistic = lowest benefit / highest cost; Optimistic = the opposite. Blue = input, yellow = still to be filled, black = formula. All amounts in UZS.</t>
  </si>
  <si>
    <t xml:space="preserve">#</t>
  </si>
  <si>
    <t xml:space="preserve">Parameter</t>
  </si>
  <si>
    <t xml:space="preserve">Pessimistic</t>
  </si>
  <si>
    <t xml:space="preserve">Base</t>
  </si>
  <si>
    <t xml:space="preserve">Optimistic</t>
  </si>
  <si>
    <t xml:space="preserve">Unit</t>
  </si>
  <si>
    <t xml:space="preserve">Status</t>
  </si>
  <si>
    <t xml:space="preserve">Source / note</t>
  </si>
  <si>
    <t xml:space="preserve">A. Visit savings</t>
  </si>
  <si>
    <t xml:space="preserve">Number of loans monitored (N)</t>
  </si>
  <si>
    <t xml:space="preserve">loans</t>
  </si>
  <si>
    <t xml:space="preserve">Assumption (notional size)</t>
  </si>
  <si>
    <t xml:space="preserve">Assumption: 1,000 is a notional size for the calculation only, not MKBANK's actual portfolio. The team agreed to keep this value.</t>
  </si>
  <si>
    <t xml:space="preserve">Scheduled visits per year (per loan)</t>
  </si>
  <si>
    <t xml:space="preserve">visits/year</t>
  </si>
  <si>
    <t xml:space="preserve">Mentor answer (unverified) + assumption</t>
  </si>
  <si>
    <t xml:space="preserve">Mentor: 2-4 times a year for small-business loans. 'Base' = midpoint of the range (assumption). The first visit within 30 days of disbursement is not included (conservative).</t>
  </si>
  <si>
    <t xml:space="preserve">Cost to the bank of one visit</t>
  </si>
  <si>
    <t xml:space="preserve">UZS/visit</t>
  </si>
  <si>
    <t xml:space="preserve">Mentor: roughly 100,000 - 300,000 UZS (higher in remote regions). To be confirmed against MKBANK's internal cost accounting.</t>
  </si>
  <si>
    <t xml:space="preserve">Share of loans visited in person with Maqsad</t>
  </si>
  <si>
    <t xml:space="preserve">% of portfolio</t>
  </si>
  <si>
    <t xml:space="preserve">Assumption (from brief)</t>
  </si>
  <si>
    <t xml:space="preserve">Assumption: the '20% visit budget' (recall@20%) from the project brief. The other 80% are checked remotely. To be validated in month 2 of the pilot by running in parallel. Confirm the regulator does not require physical visits.</t>
  </si>
  <si>
    <t xml:space="preserve">B. Early-detected losses</t>
  </si>
  <si>
    <t xml:space="preserve">Share of the portfolio with misused loans</t>
  </si>
  <si>
    <t xml:space="preserve">Mentor: 3% to 7%. Pessimistic = 3%, optimistic = 7%, base = 5% (midpoint). To be confirmed against MKBANK statistics.</t>
  </si>
  <si>
    <t xml:space="preserve">Misused amount found in regional inspections</t>
  </si>
  <si>
    <t xml:space="preserve">UZS</t>
  </si>
  <si>
    <t xml:space="preserve">Source: anhor.uz</t>
  </si>
  <si>
    <t xml:space="preserve">68 bn UZS across 2,500 cases (President's meeting, anhor.uz/ru/news/heads-of-banks). Re-check against the source before putting it in the deck.</t>
  </si>
  <si>
    <t xml:space="preserve">Number of cases found</t>
  </si>
  <si>
    <t xml:space="preserve">cases</t>
  </si>
  <si>
    <t xml:space="preserve">Same source. This is a nationwide regional inspection, not MKBANK-specific.</t>
  </si>
  <si>
    <t xml:space="preserve">Average misused amount per case</t>
  </si>
  <si>
    <t xml:space="preserve">UZS/case</t>
  </si>
  <si>
    <t xml:space="preserve">Calculated</t>
  </si>
  <si>
    <t xml:space="preserve">Calculation: 68 bn / 2,500. Assumption: MKBANK cases are similar.</t>
  </si>
  <si>
    <t xml:space="preserve">Maqsad detection rate (recall@20%)</t>
  </si>
  <si>
    <t xml:space="preserve">% of cases</t>
  </si>
  <si>
    <t xml:space="preserve">To be measured (Dilshodbek)</t>
  </si>
  <si>
    <t xml:space="preserve">Take it from docs/metrics.md. Measured on synthetic data; real accuracy will be measured in the pilot (say so in the deck).</t>
  </si>
  <si>
    <t xml:space="preserve">Share of the amount recovered if detected early</t>
  </si>
  <si>
    <t xml:space="preserve">% of amount</t>
  </si>
  <si>
    <t xml:space="preserve">Mentor answer (unverified)</t>
  </si>
  <si>
    <t xml:space="preserve">Mentor: if detected early the bank recovers 100% of the misused amount. Note: this is the recovery rule; Maqsad's incremental benefit is the difference versus today's method (see next row).</t>
  </si>
  <si>
    <t xml:space="preserve">Share of cases today's method already catches (baseline)</t>
  </si>
  <si>
    <t xml:space="preserve">To be measured (optional)</t>
  </si>
  <si>
    <t xml:space="preserve">How many misused cases the current visit-based method already catches. Incremental benefit = Maqsad recall - baseline. If left blank it is treated as 0 and the benefit is overstated.</t>
  </si>
  <si>
    <t xml:space="preserve">Penalty share (NOT counted in benefit)</t>
  </si>
  <si>
    <t xml:space="preserve">Mentor: one-time penalty of 10-25% of the misused amount. It is not confirmed that the penalty goes to the bank, so it is excluded from the benefit (conservative).</t>
  </si>
  <si>
    <t xml:space="preserve">C. Pilot costs</t>
  </si>
  <si>
    <t xml:space="preserve">AI/ML engineer hourly rate</t>
  </si>
  <si>
    <t xml:space="preserve">UZS/hour</t>
  </si>
  <si>
    <t xml:space="preserve">Team estimate (unverified)</t>
  </si>
  <si>
    <t xml:space="preserve">Team estimate; confirm against real rates.</t>
  </si>
  <si>
    <t xml:space="preserve">Backend/Frontend developer hourly rate</t>
  </si>
  <si>
    <t xml:space="preserve">Trainer / business analyst hourly rate</t>
  </si>
  <si>
    <t xml:space="preserve">Pilot hours: AI/ML engineer</t>
  </si>
  <si>
    <t xml:space="preserve">hours</t>
  </si>
  <si>
    <t xml:space="preserve">To be measured (team)</t>
  </si>
  <si>
    <t xml:space="preserve">One-time: installation, adapting the model to bank data.</t>
  </si>
  <si>
    <t xml:space="preserve">Pilot hours: Backend/Frontend</t>
  </si>
  <si>
    <t xml:space="preserve">One-time: integration, officer panel.</t>
  </si>
  <si>
    <t xml:space="preserve">Pilot hours: Trainer / business analyst</t>
  </si>
  <si>
    <t xml:space="preserve">One-time: training bank officers.</t>
  </si>
  <si>
    <t xml:space="preserve">GPU server / on-prem hardware (one-time)</t>
  </si>
  <si>
    <t xml:space="preserve">Team estimate (unverified) + assumption</t>
  </si>
  <si>
    <t xml:space="preserve">Team estimate: enough for a 1-branch or 1-district pilot (1x RTX 6000 Ada or RTX 4090 workstation, 64 GB RAM, 2 TB NVMe), about USD 8,000-12,000 = 95-142 M UZS. Pessimistic = expensive end. Confirm against market prices.</t>
  </si>
  <si>
    <t xml:space="preserve">People, support (annual)</t>
  </si>
  <si>
    <t xml:space="preserve">UZS/year</t>
  </si>
  <si>
    <t xml:space="preserve">Team estimate: 57,600,000 UZS/year. It is unknown which role and how many hours this comes from; clarify before the deck.</t>
  </si>
  <si>
    <t xml:space="preserve">Antivirus, security, certificates, SIEM (annual)</t>
  </si>
  <si>
    <t xml:space="preserve">Team estimate: about 10-15 M UZS/year. Pessimistic = expensive end. Datasets/models with open licences have no separate fee (see data/README.md).</t>
  </si>
  <si>
    <t xml:space="preserve">LLM cost per draft report (USD)</t>
  </si>
  <si>
    <t xml:space="preserve">USD/check</t>
  </si>
  <si>
    <t xml:space="preserve">About 1,000 input + 1,000 output tokens. Low-cost model (GPT-4o-mini / Gemini Flash) USD 0.00075; high-accuracy model USD 0.0125. Pessimistic = expensive. In production a local LLM is used, so cost comes from server amortisation. Dilshodbek measures actual cost_usd in docs/metrics.md.</t>
  </si>
  <si>
    <t xml:space="preserve">Exchange rate: 1 USD = ? UZS</t>
  </si>
  <si>
    <t xml:space="preserve">UZS/USD</t>
  </si>
  <si>
    <t xml:space="preserve">Assumption (team)</t>
  </si>
  <si>
    <t xml:space="preserve">Team assumption 11,900. Central Bank official rate on 01.10.2026 was about 11,809 (cbu.uz), a difference of about 1%. Update to the current rate before the deck.</t>
  </si>
  <si>
    <t xml:space="preserve">Remote checks per year (per loan)</t>
  </si>
  <si>
    <t xml:space="preserve">checks/year</t>
  </si>
  <si>
    <t xml:space="preserve">Assumption</t>
  </si>
  <si>
    <t xml:space="preserve">Assumption: remote check frequency equals today's visit frequency.</t>
  </si>
  <si>
    <t xml:space="preserve">ROI calculation (annual, UZS)</t>
  </si>
  <si>
    <t xml:space="preserve">Results use only the values entered. A missing input shows 'not entered'.</t>
  </si>
  <si>
    <t xml:space="preserve">Metric</t>
  </si>
  <si>
    <t xml:space="preserve">Formula / note</t>
  </si>
  <si>
    <t xml:space="preserve">Number of loans (N)</t>
  </si>
  <si>
    <t xml:space="preserve">Assumptions</t>
  </si>
  <si>
    <t xml:space="preserve">Current visits per year</t>
  </si>
  <si>
    <t xml:space="preserve">N x visits per year</t>
  </si>
  <si>
    <t xml:space="preserve">Visits with Maqsad</t>
  </si>
  <si>
    <t xml:space="preserve">Current visits x share visited</t>
  </si>
  <si>
    <t xml:space="preserve">Visits saved</t>
  </si>
  <si>
    <t xml:space="preserve">Current - with Maqsad</t>
  </si>
  <si>
    <t xml:space="preserve">Cost of one visit (UZS)</t>
  </si>
  <si>
    <t xml:space="preserve">A. Annual savings from visits (UZS)</t>
  </si>
  <si>
    <t xml:space="preserve">Visits saved x cost per visit</t>
  </si>
  <si>
    <t xml:space="preserve">Number of misused loans</t>
  </si>
  <si>
    <t xml:space="preserve">N x misuse share (3-7%)</t>
  </si>
  <si>
    <t xml:space="preserve">Total misused amount (UZS)</t>
  </si>
  <si>
    <t xml:space="preserve">Misused loans x average amount (27.2 M, nationwide regional data)</t>
  </si>
  <si>
    <t xml:space="preserve">Additional cases caught by Maqsad</t>
  </si>
  <si>
    <t xml:space="preserve">Misused loans x (recall - baseline)</t>
  </si>
  <si>
    <t xml:space="preserve">B. Amount recovered (UZS/year)</t>
  </si>
  <si>
    <t xml:space="preserve">Additional cases caught x average amount x recovery share</t>
  </si>
  <si>
    <t xml:space="preserve">Warning</t>
  </si>
  <si>
    <t xml:space="preserve">Disappears once the baseline is entered on 'Assumptions'</t>
  </si>
  <si>
    <t xml:space="preserve">C. Costs</t>
  </si>
  <si>
    <t xml:space="preserve">GPU server / hardware (one-time)</t>
  </si>
  <si>
    <t xml:space="preserve">People, pilot (one-time)</t>
  </si>
  <si>
    <t xml:space="preserve">Sum of (hourly rate x hours)</t>
  </si>
  <si>
    <t xml:space="preserve">Total one-time cost (UZS)</t>
  </si>
  <si>
    <t xml:space="preserve">Server + people</t>
  </si>
  <si>
    <t xml:space="preserve">Annual recurring cost, excl. LLM (UZS)</t>
  </si>
  <si>
    <t xml:space="preserve">Support + licences/security</t>
  </si>
  <si>
    <t xml:space="preserve">Remote checks per year</t>
  </si>
  <si>
    <t xml:space="preserve">N x check frequency</t>
  </si>
  <si>
    <t xml:space="preserve">Annual LLM cost (UZS)</t>
  </si>
  <si>
    <t xml:space="preserve">Checks x USD price x exchange rate</t>
  </si>
  <si>
    <t xml:space="preserve">Total annual recurring cost (UZS)</t>
  </si>
  <si>
    <t xml:space="preserve">D. Unit economics</t>
  </si>
  <si>
    <t xml:space="preserve">Cost per check (UZS)</t>
  </si>
  <si>
    <t xml:space="preserve">Annual recurring cost / number of checks (excludes one-time cost)</t>
  </si>
  <si>
    <t xml:space="preserve">Comparison: cost per visit (UZS)</t>
  </si>
  <si>
    <t xml:space="preserve">Is a Maqsad check cheaper than a visit?</t>
  </si>
  <si>
    <t xml:space="preserve">E. Payback</t>
  </si>
  <si>
    <t xml:space="preserve">Annual net benefit, visit savings only (UZS)</t>
  </si>
  <si>
    <t xml:space="preserve">A - annual recurring cost (conservative, excludes recovered losses)</t>
  </si>
  <si>
    <t xml:space="preserve">Annual net benefit, incl. recovered losses (UZS)</t>
  </si>
  <si>
    <t xml:space="preserve">A + B - annual recurring cost</t>
  </si>
  <si>
    <t xml:space="preserve">Payback period, months (visit savings only)</t>
  </si>
  <si>
    <t xml:space="preserve">One-time cost / monthly net benefit</t>
  </si>
  <si>
    <t xml:space="preserve">Payback period, months (incl. recovered losses)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</si>
</sst>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%;\(0.0%\);\-"/>
    <numFmt numFmtId="167" formatCode="0.00000"/>
    <numFmt numFmtId="168" formatCode="@"/>
    <numFmt numFmtId="169" formatCode="#,##0.0;\(#,##0.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8"/>
    <col collapsed="false" customWidth="true" hidden="false" outlineLevel="0" max="5" min="3" style="0" width="16"/>
    <col collapsed="false" customWidth="true" hidden="false" outlineLevel="0" max="6" min="6" style="0" width="15"/>
    <col collapsed="false" customWidth="true" hidden="false" outlineLevel="0" max="7" min="7" style="0" width="28"/>
    <col collapsed="false" customWidth="true" hidden="false" outlineLevel="0" max="8" min="8" style="0" width="85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/>
      <c r="B5" s="5" t="s">
        <v>10</v>
      </c>
      <c r="C5" s="4"/>
      <c r="D5" s="4"/>
      <c r="E5" s="4"/>
      <c r="F5" s="4"/>
      <c r="G5" s="4"/>
      <c r="H5" s="4"/>
    </row>
    <row r="6" customFormat="false" ht="42" hidden="false" customHeight="true" outlineLevel="0" collapsed="false">
      <c r="A6" s="6" t="n">
        <v>1</v>
      </c>
      <c r="B6" s="7" t="s">
        <v>11</v>
      </c>
      <c r="C6" s="8" t="n">
        <v>1000</v>
      </c>
      <c r="D6" s="9" t="n">
        <f aca="false">C6</f>
        <v>1000</v>
      </c>
      <c r="E6" s="9" t="n">
        <f aca="false">C6</f>
        <v>1000</v>
      </c>
      <c r="F6" s="6" t="s">
        <v>12</v>
      </c>
      <c r="G6" s="7" t="s">
        <v>13</v>
      </c>
      <c r="H6" s="7" t="s">
        <v>14</v>
      </c>
    </row>
    <row r="7" customFormat="false" ht="54" hidden="false" customHeight="true" outlineLevel="0" collapsed="false">
      <c r="A7" s="6" t="n">
        <v>2</v>
      </c>
      <c r="B7" s="7" t="s">
        <v>15</v>
      </c>
      <c r="C7" s="8" t="n">
        <v>2</v>
      </c>
      <c r="D7" s="9" t="n">
        <f aca="false">(C7+E7)/2</f>
        <v>3</v>
      </c>
      <c r="E7" s="8" t="n">
        <v>4</v>
      </c>
      <c r="F7" s="6" t="s">
        <v>16</v>
      </c>
      <c r="G7" s="7" t="s">
        <v>17</v>
      </c>
      <c r="H7" s="7" t="s">
        <v>18</v>
      </c>
    </row>
    <row r="8" customFormat="false" ht="42" hidden="false" customHeight="true" outlineLevel="0" collapsed="false">
      <c r="A8" s="6" t="n">
        <v>3</v>
      </c>
      <c r="B8" s="7" t="s">
        <v>19</v>
      </c>
      <c r="C8" s="8" t="n">
        <v>100000</v>
      </c>
      <c r="D8" s="9" t="n">
        <f aca="false">(C8+E8)/2</f>
        <v>200000</v>
      </c>
      <c r="E8" s="8" t="n">
        <v>300000</v>
      </c>
      <c r="F8" s="6" t="s">
        <v>20</v>
      </c>
      <c r="G8" s="7" t="s">
        <v>17</v>
      </c>
      <c r="H8" s="7" t="s">
        <v>21</v>
      </c>
    </row>
    <row r="9" customFormat="false" ht="54" hidden="false" customHeight="true" outlineLevel="0" collapsed="false">
      <c r="A9" s="6" t="n">
        <v>4</v>
      </c>
      <c r="B9" s="7" t="s">
        <v>22</v>
      </c>
      <c r="C9" s="10" t="n">
        <v>0.2</v>
      </c>
      <c r="D9" s="11" t="n">
        <f aca="false">C9</f>
        <v>0.2</v>
      </c>
      <c r="E9" s="11" t="n">
        <f aca="false">C9</f>
        <v>0.2</v>
      </c>
      <c r="F9" s="6" t="s">
        <v>23</v>
      </c>
      <c r="G9" s="7" t="s">
        <v>24</v>
      </c>
      <c r="H9" s="7" t="s">
        <v>25</v>
      </c>
    </row>
    <row r="10" customFormat="false" ht="15" hidden="false" customHeight="false" outlineLevel="0" collapsed="false">
      <c r="A10" s="4"/>
      <c r="B10" s="5" t="s">
        <v>26</v>
      </c>
      <c r="C10" s="4"/>
      <c r="D10" s="4"/>
      <c r="E10" s="4"/>
      <c r="F10" s="4"/>
      <c r="G10" s="4"/>
      <c r="H10" s="4"/>
    </row>
    <row r="11" customFormat="false" ht="42" hidden="false" customHeight="true" outlineLevel="0" collapsed="false">
      <c r="A11" s="6" t="n">
        <v>5</v>
      </c>
      <c r="B11" s="7" t="s">
        <v>27</v>
      </c>
      <c r="C11" s="10" t="n">
        <v>0.03</v>
      </c>
      <c r="D11" s="11" t="n">
        <f aca="false">(C11+E11)/2</f>
        <v>0.05</v>
      </c>
      <c r="E11" s="10" t="n">
        <v>0.07</v>
      </c>
      <c r="F11" s="6" t="s">
        <v>23</v>
      </c>
      <c r="G11" s="7" t="s">
        <v>17</v>
      </c>
      <c r="H11" s="7" t="s">
        <v>28</v>
      </c>
    </row>
    <row r="12" customFormat="false" ht="42" hidden="false" customHeight="true" outlineLevel="0" collapsed="false">
      <c r="A12" s="6" t="n">
        <v>6</v>
      </c>
      <c r="B12" s="7" t="s">
        <v>29</v>
      </c>
      <c r="C12" s="8" t="n">
        <v>68000000000</v>
      </c>
      <c r="D12" s="9" t="n">
        <f aca="false">C12</f>
        <v>68000000000</v>
      </c>
      <c r="E12" s="9" t="n">
        <f aca="false">C12</f>
        <v>68000000000</v>
      </c>
      <c r="F12" s="6" t="s">
        <v>30</v>
      </c>
      <c r="G12" s="7" t="s">
        <v>31</v>
      </c>
      <c r="H12" s="7" t="s">
        <v>32</v>
      </c>
    </row>
    <row r="13" customFormat="false" ht="27.75" hidden="false" customHeight="true" outlineLevel="0" collapsed="false">
      <c r="A13" s="6" t="n">
        <v>7</v>
      </c>
      <c r="B13" s="7" t="s">
        <v>33</v>
      </c>
      <c r="C13" s="8" t="n">
        <v>2500</v>
      </c>
      <c r="D13" s="9" t="n">
        <f aca="false">C13</f>
        <v>2500</v>
      </c>
      <c r="E13" s="9" t="n">
        <f aca="false">C13</f>
        <v>2500</v>
      </c>
      <c r="F13" s="6" t="s">
        <v>34</v>
      </c>
      <c r="G13" s="7" t="s">
        <v>31</v>
      </c>
      <c r="H13" s="7" t="s">
        <v>35</v>
      </c>
    </row>
    <row r="14" customFormat="false" ht="27.75" hidden="false" customHeight="true" outlineLevel="0" collapsed="false">
      <c r="A14" s="6" t="n">
        <v>8</v>
      </c>
      <c r="B14" s="7" t="s">
        <v>36</v>
      </c>
      <c r="C14" s="9" t="n">
        <f aca="false">C12/C13</f>
        <v>27200000</v>
      </c>
      <c r="D14" s="9" t="n">
        <f aca="false">D12/D13</f>
        <v>27200000</v>
      </c>
      <c r="E14" s="9" t="n">
        <f aca="false">E12/E13</f>
        <v>27200000</v>
      </c>
      <c r="F14" s="6" t="s">
        <v>37</v>
      </c>
      <c r="G14" s="7" t="s">
        <v>38</v>
      </c>
      <c r="H14" s="7" t="s">
        <v>39</v>
      </c>
    </row>
    <row r="15" customFormat="false" ht="42" hidden="false" customHeight="true" outlineLevel="0" collapsed="false">
      <c r="A15" s="6" t="n">
        <v>9</v>
      </c>
      <c r="B15" s="7" t="s">
        <v>40</v>
      </c>
      <c r="C15" s="12"/>
      <c r="D15" s="11" t="str">
        <f aca="false">IF(C15="","",C15)</f>
        <v/>
      </c>
      <c r="E15" s="11" t="str">
        <f aca="false">IF(C15="","",C15)</f>
        <v/>
      </c>
      <c r="F15" s="6" t="s">
        <v>41</v>
      </c>
      <c r="G15" s="7" t="s">
        <v>42</v>
      </c>
      <c r="H15" s="7" t="s">
        <v>43</v>
      </c>
    </row>
    <row r="16" customFormat="false" ht="54" hidden="false" customHeight="true" outlineLevel="0" collapsed="false">
      <c r="A16" s="6" t="n">
        <v>10</v>
      </c>
      <c r="B16" s="7" t="s">
        <v>44</v>
      </c>
      <c r="C16" s="10" t="n">
        <v>1</v>
      </c>
      <c r="D16" s="11" t="n">
        <f aca="false">C16</f>
        <v>1</v>
      </c>
      <c r="E16" s="11" t="n">
        <f aca="false">C16</f>
        <v>1</v>
      </c>
      <c r="F16" s="6" t="s">
        <v>45</v>
      </c>
      <c r="G16" s="7" t="s">
        <v>46</v>
      </c>
      <c r="H16" s="7" t="s">
        <v>47</v>
      </c>
    </row>
    <row r="17" customFormat="false" ht="54" hidden="false" customHeight="true" outlineLevel="0" collapsed="false">
      <c r="A17" s="6" t="n">
        <v>11</v>
      </c>
      <c r="B17" s="7" t="s">
        <v>48</v>
      </c>
      <c r="C17" s="12"/>
      <c r="D17" s="11" t="str">
        <f aca="false">IF(C17="","",C17)</f>
        <v/>
      </c>
      <c r="E17" s="11" t="str">
        <f aca="false">IF(C17="","",C17)</f>
        <v/>
      </c>
      <c r="F17" s="6" t="s">
        <v>41</v>
      </c>
      <c r="G17" s="7" t="s">
        <v>49</v>
      </c>
      <c r="H17" s="7" t="s">
        <v>50</v>
      </c>
    </row>
    <row r="18" customFormat="false" ht="42" hidden="false" customHeight="true" outlineLevel="0" collapsed="false">
      <c r="A18" s="6" t="n">
        <v>12</v>
      </c>
      <c r="B18" s="7" t="s">
        <v>51</v>
      </c>
      <c r="C18" s="10" t="n">
        <v>0.1</v>
      </c>
      <c r="D18" s="11" t="n">
        <f aca="false">(C18+E18)/2</f>
        <v>0.175</v>
      </c>
      <c r="E18" s="10" t="n">
        <v>0.25</v>
      </c>
      <c r="F18" s="6" t="s">
        <v>45</v>
      </c>
      <c r="G18" s="7" t="s">
        <v>46</v>
      </c>
      <c r="H18" s="7" t="s">
        <v>52</v>
      </c>
    </row>
    <row r="19" customFormat="false" ht="15" hidden="false" customHeight="false" outlineLevel="0" collapsed="false">
      <c r="A19" s="4"/>
      <c r="B19" s="5" t="s">
        <v>53</v>
      </c>
      <c r="C19" s="4"/>
      <c r="D19" s="4"/>
      <c r="E19" s="4"/>
      <c r="F19" s="4"/>
      <c r="G19" s="4"/>
      <c r="H19" s="4"/>
    </row>
    <row r="20" customFormat="false" ht="27.75" hidden="false" customHeight="true" outlineLevel="0" collapsed="false">
      <c r="A20" s="6" t="n">
        <v>13</v>
      </c>
      <c r="B20" s="7" t="s">
        <v>54</v>
      </c>
      <c r="C20" s="8" t="n">
        <v>90000</v>
      </c>
      <c r="D20" s="9" t="n">
        <f aca="false">C20</f>
        <v>90000</v>
      </c>
      <c r="E20" s="9" t="n">
        <f aca="false">C20</f>
        <v>90000</v>
      </c>
      <c r="F20" s="6" t="s">
        <v>55</v>
      </c>
      <c r="G20" s="7" t="s">
        <v>56</v>
      </c>
      <c r="H20" s="7" t="s">
        <v>57</v>
      </c>
    </row>
    <row r="21" customFormat="false" ht="27.75" hidden="false" customHeight="true" outlineLevel="0" collapsed="false">
      <c r="A21" s="6" t="n">
        <v>14</v>
      </c>
      <c r="B21" s="7" t="s">
        <v>58</v>
      </c>
      <c r="C21" s="8" t="n">
        <v>80000</v>
      </c>
      <c r="D21" s="9" t="n">
        <f aca="false">C21</f>
        <v>80000</v>
      </c>
      <c r="E21" s="9" t="n">
        <f aca="false">C21</f>
        <v>80000</v>
      </c>
      <c r="F21" s="6" t="s">
        <v>55</v>
      </c>
      <c r="G21" s="7" t="s">
        <v>56</v>
      </c>
      <c r="H21" s="7" t="s">
        <v>57</v>
      </c>
    </row>
    <row r="22" customFormat="false" ht="27.75" hidden="false" customHeight="true" outlineLevel="0" collapsed="false">
      <c r="A22" s="6" t="n">
        <v>15</v>
      </c>
      <c r="B22" s="7" t="s">
        <v>59</v>
      </c>
      <c r="C22" s="8" t="n">
        <v>60000</v>
      </c>
      <c r="D22" s="9" t="n">
        <f aca="false">C22</f>
        <v>60000</v>
      </c>
      <c r="E22" s="9" t="n">
        <f aca="false">C22</f>
        <v>60000</v>
      </c>
      <c r="F22" s="6" t="s">
        <v>55</v>
      </c>
      <c r="G22" s="7" t="s">
        <v>56</v>
      </c>
      <c r="H22" s="7" t="s">
        <v>57</v>
      </c>
    </row>
    <row r="23" customFormat="false" ht="27.75" hidden="false" customHeight="true" outlineLevel="0" collapsed="false">
      <c r="A23" s="6" t="n">
        <v>16</v>
      </c>
      <c r="B23" s="7" t="s">
        <v>60</v>
      </c>
      <c r="C23" s="13"/>
      <c r="D23" s="9" t="str">
        <f aca="false">IF(C23="","",C23)</f>
        <v/>
      </c>
      <c r="E23" s="9" t="str">
        <f aca="false">IF(C23="","",C23)</f>
        <v/>
      </c>
      <c r="F23" s="6" t="s">
        <v>61</v>
      </c>
      <c r="G23" s="7" t="s">
        <v>62</v>
      </c>
      <c r="H23" s="7" t="s">
        <v>63</v>
      </c>
    </row>
    <row r="24" customFormat="false" ht="27.75" hidden="false" customHeight="true" outlineLevel="0" collapsed="false">
      <c r="A24" s="6" t="n">
        <v>17</v>
      </c>
      <c r="B24" s="7" t="s">
        <v>64</v>
      </c>
      <c r="C24" s="13"/>
      <c r="D24" s="9" t="str">
        <f aca="false">IF(C24="","",C24)</f>
        <v/>
      </c>
      <c r="E24" s="9" t="str">
        <f aca="false">IF(C24="","",C24)</f>
        <v/>
      </c>
      <c r="F24" s="6" t="s">
        <v>61</v>
      </c>
      <c r="G24" s="7" t="s">
        <v>62</v>
      </c>
      <c r="H24" s="7" t="s">
        <v>65</v>
      </c>
    </row>
    <row r="25" customFormat="false" ht="27.75" hidden="false" customHeight="true" outlineLevel="0" collapsed="false">
      <c r="A25" s="6" t="n">
        <v>18</v>
      </c>
      <c r="B25" s="7" t="s">
        <v>66</v>
      </c>
      <c r="C25" s="13"/>
      <c r="D25" s="9" t="str">
        <f aca="false">IF(C25="","",C25)</f>
        <v/>
      </c>
      <c r="E25" s="9" t="str">
        <f aca="false">IF(C25="","",C25)</f>
        <v/>
      </c>
      <c r="F25" s="6" t="s">
        <v>61</v>
      </c>
      <c r="G25" s="7" t="s">
        <v>62</v>
      </c>
      <c r="H25" s="7" t="s">
        <v>67</v>
      </c>
    </row>
    <row r="26" customFormat="false" ht="54" hidden="false" customHeight="true" outlineLevel="0" collapsed="false">
      <c r="A26" s="6" t="n">
        <v>19</v>
      </c>
      <c r="B26" s="7" t="s">
        <v>68</v>
      </c>
      <c r="C26" s="8" t="n">
        <v>142000000</v>
      </c>
      <c r="D26" s="9" t="n">
        <f aca="false">(C26+E26)/2</f>
        <v>118500000</v>
      </c>
      <c r="E26" s="8" t="n">
        <v>95000000</v>
      </c>
      <c r="F26" s="6" t="s">
        <v>30</v>
      </c>
      <c r="G26" s="7" t="s">
        <v>69</v>
      </c>
      <c r="H26" s="7" t="s">
        <v>70</v>
      </c>
    </row>
    <row r="27" customFormat="false" ht="42" hidden="false" customHeight="true" outlineLevel="0" collapsed="false">
      <c r="A27" s="6" t="n">
        <v>20</v>
      </c>
      <c r="B27" s="7" t="s">
        <v>71</v>
      </c>
      <c r="C27" s="8" t="n">
        <v>57600000</v>
      </c>
      <c r="D27" s="9" t="n">
        <f aca="false">C27</f>
        <v>57600000</v>
      </c>
      <c r="E27" s="9" t="n">
        <f aca="false">C27</f>
        <v>57600000</v>
      </c>
      <c r="F27" s="6" t="s">
        <v>72</v>
      </c>
      <c r="G27" s="7" t="s">
        <v>56</v>
      </c>
      <c r="H27" s="7" t="s">
        <v>73</v>
      </c>
    </row>
    <row r="28" customFormat="false" ht="42" hidden="false" customHeight="true" outlineLevel="0" collapsed="false">
      <c r="A28" s="6" t="n">
        <v>21</v>
      </c>
      <c r="B28" s="7" t="s">
        <v>74</v>
      </c>
      <c r="C28" s="8" t="n">
        <v>15000000</v>
      </c>
      <c r="D28" s="9" t="n">
        <f aca="false">(C28+E28)/2</f>
        <v>12500000</v>
      </c>
      <c r="E28" s="8" t="n">
        <v>10000000</v>
      </c>
      <c r="F28" s="6" t="s">
        <v>72</v>
      </c>
      <c r="G28" s="7" t="s">
        <v>56</v>
      </c>
      <c r="H28" s="7" t="s">
        <v>75</v>
      </c>
    </row>
    <row r="29" customFormat="false" ht="54" hidden="false" customHeight="true" outlineLevel="0" collapsed="false">
      <c r="A29" s="6" t="n">
        <v>22</v>
      </c>
      <c r="B29" s="7" t="s">
        <v>76</v>
      </c>
      <c r="C29" s="14" t="n">
        <v>0.0125</v>
      </c>
      <c r="D29" s="15" t="n">
        <f aca="false">(C29+E29)/2</f>
        <v>0.006625</v>
      </c>
      <c r="E29" s="14" t="n">
        <v>0.00075</v>
      </c>
      <c r="F29" s="6" t="s">
        <v>77</v>
      </c>
      <c r="G29" s="7" t="s">
        <v>17</v>
      </c>
      <c r="H29" s="7" t="s">
        <v>78</v>
      </c>
    </row>
    <row r="30" customFormat="false" ht="42" hidden="false" customHeight="true" outlineLevel="0" collapsed="false">
      <c r="A30" s="6" t="n">
        <v>23</v>
      </c>
      <c r="B30" s="7" t="s">
        <v>79</v>
      </c>
      <c r="C30" s="8" t="n">
        <v>11900</v>
      </c>
      <c r="D30" s="9" t="n">
        <f aca="false">C30</f>
        <v>11900</v>
      </c>
      <c r="E30" s="9" t="n">
        <f aca="false">C30</f>
        <v>11900</v>
      </c>
      <c r="F30" s="6" t="s">
        <v>80</v>
      </c>
      <c r="G30" s="7" t="s">
        <v>81</v>
      </c>
      <c r="H30" s="7" t="s">
        <v>82</v>
      </c>
    </row>
    <row r="31" customFormat="false" ht="27.75" hidden="false" customHeight="true" outlineLevel="0" collapsed="false">
      <c r="A31" s="6" t="n">
        <v>24</v>
      </c>
      <c r="B31" s="7" t="s">
        <v>83</v>
      </c>
      <c r="C31" s="9" t="n">
        <f aca="false">C7</f>
        <v>2</v>
      </c>
      <c r="D31" s="9" t="n">
        <f aca="false">D7</f>
        <v>3</v>
      </c>
      <c r="E31" s="9" t="n">
        <f aca="false">E7</f>
        <v>4</v>
      </c>
      <c r="F31" s="6" t="s">
        <v>84</v>
      </c>
      <c r="G31" s="7" t="s">
        <v>85</v>
      </c>
      <c r="H31" s="7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6"/>
    <col collapsed="false" customWidth="true" hidden="false" outlineLevel="0" max="5" min="3" style="0" width="18"/>
    <col collapsed="false" customWidth="true" hidden="false" outlineLevel="0" max="6" min="6" style="0" width="72"/>
  </cols>
  <sheetData>
    <row r="1" customFormat="false" ht="17.35" hidden="false" customHeight="false" outlineLevel="0" collapsed="false">
      <c r="B1" s="1" t="s">
        <v>87</v>
      </c>
    </row>
    <row r="2" customFormat="false" ht="15" hidden="false" customHeight="false" outlineLevel="0" collapsed="false">
      <c r="B2" s="2" t="s">
        <v>88</v>
      </c>
    </row>
    <row r="4" customFormat="false" ht="15" hidden="false" customHeight="false" outlineLevel="0" collapsed="false">
      <c r="A4" s="3"/>
      <c r="B4" s="3" t="s">
        <v>89</v>
      </c>
      <c r="C4" s="3" t="s">
        <v>4</v>
      </c>
      <c r="D4" s="3" t="s">
        <v>5</v>
      </c>
      <c r="E4" s="3" t="s">
        <v>6</v>
      </c>
      <c r="F4" s="3" t="s">
        <v>90</v>
      </c>
    </row>
    <row r="5" customFormat="false" ht="15" hidden="false" customHeight="false" outlineLevel="0" collapsed="false">
      <c r="B5" s="5" t="s">
        <v>10</v>
      </c>
      <c r="C5" s="4"/>
      <c r="D5" s="4"/>
      <c r="E5" s="4"/>
      <c r="F5" s="4"/>
    </row>
    <row r="6" customFormat="false" ht="27.75" hidden="false" customHeight="true" outlineLevel="0" collapsed="false">
      <c r="B6" s="7" t="s">
        <v>91</v>
      </c>
      <c r="C6" s="16" t="n">
        <f aca="false">Assumptions!C6</f>
        <v>1000</v>
      </c>
      <c r="D6" s="16" t="n">
        <f aca="false">Assumptions!D6</f>
        <v>1000</v>
      </c>
      <c r="E6" s="16" t="n">
        <f aca="false">Assumptions!E6</f>
        <v>1000</v>
      </c>
      <c r="F6" s="7" t="s">
        <v>92</v>
      </c>
    </row>
    <row r="7" customFormat="false" ht="27.75" hidden="false" customHeight="true" outlineLevel="0" collapsed="false">
      <c r="B7" s="7" t="s">
        <v>93</v>
      </c>
      <c r="C7" s="17" t="n">
        <f aca="false">C6*Assumptions!C7</f>
        <v>2000</v>
      </c>
      <c r="D7" s="17" t="n">
        <f aca="false">D6*Assumptions!D7</f>
        <v>3000</v>
      </c>
      <c r="E7" s="17" t="n">
        <f aca="false">E6*Assumptions!E7</f>
        <v>4000</v>
      </c>
      <c r="F7" s="7" t="s">
        <v>94</v>
      </c>
    </row>
    <row r="8" customFormat="false" ht="27.75" hidden="false" customHeight="true" outlineLevel="0" collapsed="false">
      <c r="B8" s="7" t="s">
        <v>95</v>
      </c>
      <c r="C8" s="17" t="n">
        <f aca="false">C7*Assumptions!C9</f>
        <v>400</v>
      </c>
      <c r="D8" s="17" t="n">
        <f aca="false">D7*Assumptions!D9</f>
        <v>600</v>
      </c>
      <c r="E8" s="17" t="n">
        <f aca="false">E7*Assumptions!E9</f>
        <v>800</v>
      </c>
      <c r="F8" s="7" t="s">
        <v>96</v>
      </c>
    </row>
    <row r="9" customFormat="false" ht="27.75" hidden="false" customHeight="true" outlineLevel="0" collapsed="false">
      <c r="B9" s="7" t="s">
        <v>97</v>
      </c>
      <c r="C9" s="17" t="n">
        <f aca="false">C7-C8</f>
        <v>1600</v>
      </c>
      <c r="D9" s="17" t="n">
        <f aca="false">D7-D8</f>
        <v>2400</v>
      </c>
      <c r="E9" s="17" t="n">
        <f aca="false">E7-E8</f>
        <v>3200</v>
      </c>
      <c r="F9" s="7" t="s">
        <v>98</v>
      </c>
    </row>
    <row r="10" customFormat="false" ht="27.75" hidden="false" customHeight="true" outlineLevel="0" collapsed="false">
      <c r="B10" s="7" t="s">
        <v>99</v>
      </c>
      <c r="C10" s="16" t="n">
        <f aca="false">Assumptions!C8</f>
        <v>100000</v>
      </c>
      <c r="D10" s="16" t="n">
        <f aca="false">Assumptions!D8</f>
        <v>200000</v>
      </c>
      <c r="E10" s="16" t="n">
        <f aca="false">Assumptions!E8</f>
        <v>300000</v>
      </c>
      <c r="F10" s="7" t="s">
        <v>92</v>
      </c>
    </row>
    <row r="11" customFormat="false" ht="27.75" hidden="false" customHeight="true" outlineLevel="0" collapsed="false">
      <c r="B11" s="18" t="s">
        <v>100</v>
      </c>
      <c r="C11" s="19" t="n">
        <f aca="false">C9*C10</f>
        <v>160000000</v>
      </c>
      <c r="D11" s="19" t="n">
        <f aca="false">D9*D10</f>
        <v>480000000</v>
      </c>
      <c r="E11" s="19" t="n">
        <f aca="false">E9*E10</f>
        <v>960000000</v>
      </c>
      <c r="F11" s="7" t="s">
        <v>101</v>
      </c>
    </row>
    <row r="12" customFormat="false" ht="15" hidden="false" customHeight="false" outlineLevel="0" collapsed="false">
      <c r="B12" s="5" t="s">
        <v>26</v>
      </c>
      <c r="C12" s="4"/>
      <c r="D12" s="4"/>
      <c r="E12" s="4"/>
      <c r="F12" s="4"/>
    </row>
    <row r="13" customFormat="false" ht="27.75" hidden="false" customHeight="true" outlineLevel="0" collapsed="false">
      <c r="B13" s="7" t="s">
        <v>102</v>
      </c>
      <c r="C13" s="17" t="n">
        <f aca="false">C6*Assumptions!C11</f>
        <v>30</v>
      </c>
      <c r="D13" s="17" t="n">
        <f aca="false">D6*Assumptions!D11</f>
        <v>50</v>
      </c>
      <c r="E13" s="17" t="n">
        <f aca="false">E6*Assumptions!E11</f>
        <v>70</v>
      </c>
      <c r="F13" s="7" t="s">
        <v>103</v>
      </c>
    </row>
    <row r="14" customFormat="false" ht="27.75" hidden="false" customHeight="true" outlineLevel="0" collapsed="false">
      <c r="B14" s="7" t="s">
        <v>104</v>
      </c>
      <c r="C14" s="17" t="n">
        <f aca="false">C13*Assumptions!C14</f>
        <v>816000000</v>
      </c>
      <c r="D14" s="17" t="n">
        <f aca="false">D13*Assumptions!D14</f>
        <v>1360000000</v>
      </c>
      <c r="E14" s="17" t="n">
        <f aca="false">E13*Assumptions!E14</f>
        <v>1904000000</v>
      </c>
      <c r="F14" s="7" t="s">
        <v>105</v>
      </c>
    </row>
    <row r="15" customFormat="false" ht="27.75" hidden="false" customHeight="true" outlineLevel="0" collapsed="false">
      <c r="B15" s="7" t="s">
        <v>106</v>
      </c>
      <c r="C15" s="17" t="str">
        <f aca="false">IF(Assumptions!C15="","not entered",C13*MAX(Assumptions!C15-IF(Assumptions!C17="",0,Assumptions!C17),0))</f>
        <v>not entered</v>
      </c>
      <c r="D15" s="17" t="str">
        <f aca="false">IF(Assumptions!D15="","not entered",D13*MAX(Assumptions!D15-IF(Assumptions!D17="",0,Assumptions!D17),0))</f>
        <v>not entered</v>
      </c>
      <c r="E15" s="17" t="str">
        <f aca="false">IF(Assumptions!E15="","not entered",E13*MAX(Assumptions!E15-IF(Assumptions!E17="",0,Assumptions!E17),0))</f>
        <v>not entered</v>
      </c>
      <c r="F15" s="7" t="s">
        <v>107</v>
      </c>
    </row>
    <row r="16" customFormat="false" ht="27.75" hidden="false" customHeight="true" outlineLevel="0" collapsed="false">
      <c r="B16" s="18" t="s">
        <v>108</v>
      </c>
      <c r="C16" s="19" t="str">
        <f aca="false">IF(C15="not entered","not entered",C15*Assumptions!C14*Assumptions!C16)</f>
        <v>not entered</v>
      </c>
      <c r="D16" s="19" t="str">
        <f aca="false">IF(D15="not entered","not entered",D15*Assumptions!D14*Assumptions!D16)</f>
        <v>not entered</v>
      </c>
      <c r="E16" s="19" t="str">
        <f aca="false">IF(E15="not entered","not entered",E15*Assumptions!E14*Assumptions!E16)</f>
        <v>not entered</v>
      </c>
      <c r="F16" s="7" t="s">
        <v>109</v>
      </c>
    </row>
    <row r="17" customFormat="false" ht="27.75" hidden="false" customHeight="true" outlineLevel="0" collapsed="false">
      <c r="B17" s="7" t="s">
        <v>110</v>
      </c>
      <c r="C17" s="20" t="str">
        <f aca="false">IF(Assumptions!C17="","baseline not entered: B is overstated","")</f>
        <v>baseline not entered: B is overstated</v>
      </c>
      <c r="D17" s="20" t="str">
        <f aca="false">IF(Assumptions!D17="","baseline not entered: B is overstated","")</f>
        <v>baseline not entered: B is overstated</v>
      </c>
      <c r="E17" s="20" t="str">
        <f aca="false">IF(Assumptions!E17="","baseline not entered: B is overstated","")</f>
        <v>baseline not entered: B is overstated</v>
      </c>
      <c r="F17" s="7" t="s">
        <v>111</v>
      </c>
    </row>
    <row r="18" customFormat="false" ht="15" hidden="false" customHeight="false" outlineLevel="0" collapsed="false">
      <c r="B18" s="5" t="s">
        <v>112</v>
      </c>
      <c r="C18" s="4"/>
      <c r="D18" s="4"/>
      <c r="E18" s="4"/>
      <c r="F18" s="4"/>
    </row>
    <row r="19" customFormat="false" ht="27.75" hidden="false" customHeight="true" outlineLevel="0" collapsed="false">
      <c r="B19" s="7" t="s">
        <v>113</v>
      </c>
      <c r="C19" s="16" t="n">
        <f aca="false">Assumptions!C26</f>
        <v>142000000</v>
      </c>
      <c r="D19" s="16" t="n">
        <f aca="false">Assumptions!D26</f>
        <v>118500000</v>
      </c>
      <c r="E19" s="16" t="n">
        <f aca="false">Assumptions!E26</f>
        <v>95000000</v>
      </c>
      <c r="F19" s="7" t="s">
        <v>92</v>
      </c>
    </row>
    <row r="20" customFormat="false" ht="27.75" hidden="false" customHeight="true" outlineLevel="0" collapsed="false">
      <c r="B20" s="7" t="s">
        <v>114</v>
      </c>
      <c r="C20" s="17" t="str">
        <f aca="false">IF(COUNT(Assumptions!C23,Assumptions!C24,Assumptions!C25)&lt;3,"not entered",Assumptions!C20*Assumptions!C23+Assumptions!C21*Assumptions!C24+Assumptions!C22*Assumptions!C25)</f>
        <v>not entered</v>
      </c>
      <c r="D20" s="17" t="str">
        <f aca="false">IF(COUNT(Assumptions!D23,Assumptions!D24,Assumptions!D25)&lt;3,"not entered",Assumptions!D20*Assumptions!D23+Assumptions!D21*Assumptions!D24+Assumptions!D22*Assumptions!D25)</f>
        <v>not entered</v>
      </c>
      <c r="E20" s="17" t="str">
        <f aca="false">IF(COUNT(Assumptions!E23,Assumptions!E24,Assumptions!E25)&lt;3,"not entered",Assumptions!E20*Assumptions!E23+Assumptions!E21*Assumptions!E24+Assumptions!E22*Assumptions!E25)</f>
        <v>not entered</v>
      </c>
      <c r="F20" s="7" t="s">
        <v>115</v>
      </c>
    </row>
    <row r="21" customFormat="false" ht="27.75" hidden="false" customHeight="true" outlineLevel="0" collapsed="false">
      <c r="B21" s="18" t="s">
        <v>116</v>
      </c>
      <c r="C21" s="19" t="str">
        <f aca="false">IF(C20="not entered","not entered",C19+C20)</f>
        <v>not entered</v>
      </c>
      <c r="D21" s="19" t="str">
        <f aca="false">IF(D20="not entered","not entered",D19+D20)</f>
        <v>not entered</v>
      </c>
      <c r="E21" s="19" t="str">
        <f aca="false">IF(E20="not entered","not entered",E19+E20)</f>
        <v>not entered</v>
      </c>
      <c r="F21" s="7" t="s">
        <v>117</v>
      </c>
    </row>
    <row r="22" customFormat="false" ht="27.75" hidden="false" customHeight="true" outlineLevel="0" collapsed="false">
      <c r="B22" s="7" t="s">
        <v>118</v>
      </c>
      <c r="C22" s="17" t="n">
        <f aca="false">Assumptions!C27+Assumptions!C28</f>
        <v>72600000</v>
      </c>
      <c r="D22" s="17" t="n">
        <f aca="false">Assumptions!D27+Assumptions!D28</f>
        <v>70100000</v>
      </c>
      <c r="E22" s="17" t="n">
        <f aca="false">Assumptions!E27+Assumptions!E28</f>
        <v>67600000</v>
      </c>
      <c r="F22" s="7" t="s">
        <v>119</v>
      </c>
    </row>
    <row r="23" customFormat="false" ht="27.75" hidden="false" customHeight="true" outlineLevel="0" collapsed="false">
      <c r="B23" s="7" t="s">
        <v>120</v>
      </c>
      <c r="C23" s="17" t="n">
        <f aca="false">C6*Assumptions!C31</f>
        <v>2000</v>
      </c>
      <c r="D23" s="17" t="n">
        <f aca="false">D6*Assumptions!D31</f>
        <v>3000</v>
      </c>
      <c r="E23" s="17" t="n">
        <f aca="false">E6*Assumptions!E31</f>
        <v>4000</v>
      </c>
      <c r="F23" s="7" t="s">
        <v>121</v>
      </c>
    </row>
    <row r="24" customFormat="false" ht="27.75" hidden="false" customHeight="true" outlineLevel="0" collapsed="false">
      <c r="B24" s="7" t="s">
        <v>122</v>
      </c>
      <c r="C24" s="17" t="n">
        <f aca="false">C23*Assumptions!C29*Assumptions!C30</f>
        <v>297500</v>
      </c>
      <c r="D24" s="17" t="n">
        <f aca="false">D23*Assumptions!D29*Assumptions!D30</f>
        <v>236512.5</v>
      </c>
      <c r="E24" s="17" t="n">
        <f aca="false">E23*Assumptions!E29*Assumptions!E30</f>
        <v>35700</v>
      </c>
      <c r="F24" s="7" t="s">
        <v>123</v>
      </c>
    </row>
    <row r="25" customFormat="false" ht="27.75" hidden="false" customHeight="true" outlineLevel="0" collapsed="false">
      <c r="B25" s="18" t="s">
        <v>124</v>
      </c>
      <c r="C25" s="19" t="n">
        <f aca="false">C22+C24</f>
        <v>72897500</v>
      </c>
      <c r="D25" s="19" t="n">
        <f aca="false">D22+D24</f>
        <v>70336512.5</v>
      </c>
      <c r="E25" s="19" t="n">
        <f aca="false">E22+E24</f>
        <v>67635700</v>
      </c>
      <c r="F25" s="7"/>
    </row>
    <row r="26" customFormat="false" ht="15" hidden="false" customHeight="false" outlineLevel="0" collapsed="false">
      <c r="B26" s="5" t="s">
        <v>125</v>
      </c>
      <c r="C26" s="4"/>
      <c r="D26" s="4"/>
      <c r="E26" s="4"/>
      <c r="F26" s="4"/>
    </row>
    <row r="27" customFormat="false" ht="27.75" hidden="false" customHeight="true" outlineLevel="0" collapsed="false">
      <c r="B27" s="18" t="s">
        <v>126</v>
      </c>
      <c r="C27" s="19" t="n">
        <f aca="false">IF(C23=0,"not entered",C25/C23)</f>
        <v>36448.75</v>
      </c>
      <c r="D27" s="19" t="n">
        <f aca="false">IF(D23=0,"not entered",D25/D23)</f>
        <v>23445.5041666667</v>
      </c>
      <c r="E27" s="19" t="n">
        <f aca="false">IF(E23=0,"not entered",E25/E23)</f>
        <v>16908.925</v>
      </c>
      <c r="F27" s="7" t="s">
        <v>127</v>
      </c>
    </row>
    <row r="28" customFormat="false" ht="27.75" hidden="false" customHeight="true" outlineLevel="0" collapsed="false">
      <c r="B28" s="7" t="s">
        <v>128</v>
      </c>
      <c r="C28" s="17" t="n">
        <f aca="false">C10</f>
        <v>100000</v>
      </c>
      <c r="D28" s="17" t="n">
        <f aca="false">D10</f>
        <v>200000</v>
      </c>
      <c r="E28" s="17" t="n">
        <f aca="false">E10</f>
        <v>300000</v>
      </c>
      <c r="F28" s="7" t="s">
        <v>129</v>
      </c>
    </row>
    <row r="29" customFormat="false" ht="15" hidden="false" customHeight="false" outlineLevel="0" collapsed="false">
      <c r="B29" s="5" t="s">
        <v>130</v>
      </c>
      <c r="C29" s="4"/>
      <c r="D29" s="4"/>
      <c r="E29" s="4"/>
      <c r="F29" s="4"/>
    </row>
    <row r="30" customFormat="false" ht="27.75" hidden="false" customHeight="true" outlineLevel="0" collapsed="false">
      <c r="B30" s="18" t="s">
        <v>131</v>
      </c>
      <c r="C30" s="19" t="n">
        <f aca="false">C11-C25</f>
        <v>87102500</v>
      </c>
      <c r="D30" s="19" t="n">
        <f aca="false">D11-D25</f>
        <v>409663487.5</v>
      </c>
      <c r="E30" s="19" t="n">
        <f aca="false">E11-E25</f>
        <v>892364300</v>
      </c>
      <c r="F30" s="7" t="s">
        <v>132</v>
      </c>
    </row>
    <row r="31" customFormat="false" ht="27.75" hidden="false" customHeight="true" outlineLevel="0" collapsed="false">
      <c r="B31" s="7" t="s">
        <v>133</v>
      </c>
      <c r="C31" s="17" t="str">
        <f aca="false">IF(C16="not entered","not entered",C30+C16)</f>
        <v>not entered</v>
      </c>
      <c r="D31" s="17" t="str">
        <f aca="false">IF(D16="not entered","not entered",D30+D16)</f>
        <v>not entered</v>
      </c>
      <c r="E31" s="17" t="str">
        <f aca="false">IF(E16="not entered","not entered",E30+E16)</f>
        <v>not entered</v>
      </c>
      <c r="F31" s="7" t="s">
        <v>134</v>
      </c>
    </row>
    <row r="32" customFormat="false" ht="27.75" hidden="false" customHeight="true" outlineLevel="0" collapsed="false">
      <c r="B32" s="18" t="s">
        <v>135</v>
      </c>
      <c r="C32" s="21" t="str">
        <f aca="false">IF(C21="not entered","not entered",IF(C30&lt;=0,"no payback",C21/(C30/12)))</f>
        <v>not entered</v>
      </c>
      <c r="D32" s="21" t="str">
        <f aca="false">IF(D21="not entered","not entered",IF(D30&lt;=0,"no payback",D21/(D30/12)))</f>
        <v>not entered</v>
      </c>
      <c r="E32" s="21" t="str">
        <f aca="false">IF(E21="not entered","not entered",IF(E30&lt;=0,"no payback",E21/(E30/12)))</f>
        <v>not entered</v>
      </c>
      <c r="F32" s="7" t="s">
        <v>136</v>
      </c>
    </row>
    <row r="33" customFormat="false" ht="27.75" hidden="false" customHeight="true" outlineLevel="0" collapsed="false">
      <c r="B33" s="18" t="s">
        <v>137</v>
      </c>
      <c r="C33" s="21" t="str">
        <f aca="false">IF(OR(C21="not entered",C31="not entered"),"not entered",IF(C31&lt;=0,"no payback",C21/(C31/12)))</f>
        <v>not entered</v>
      </c>
      <c r="D33" s="21" t="str">
        <f aca="false">IF(OR(D21="not entered",D31="not entered"),"not entered",IF(D31&lt;=0,"no payback",D21/(D31/12)))</f>
        <v>not entered</v>
      </c>
      <c r="E33" s="21" t="str">
        <f aca="false">IF(OR(E21="not entered",E31="not entered"),"not entered",IF(E31&lt;=0,"no payback",E21/(E31/12)))</f>
        <v>not entered</v>
      </c>
      <c r="F33" s="7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2026-10-10T11:38:23Z</dcterms:created>
  <dc:creator>openpyxl</dc:creator>
  <dc:description/>
  <dc:language>en-US</dc:language>
  <cp:lastModifiedBy/>
  <dcterms:modified xsi:type="dcterms:W3CDTF">2026-10-10T11:38:23Z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